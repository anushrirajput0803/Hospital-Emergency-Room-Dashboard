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09bb39c06b5a23a1/Desktop/Hospital-Emergency-Room-Dashboard/"/>
    </mc:Choice>
  </mc:AlternateContent>
  <xr:revisionPtr revIDLastSave="1647" documentId="8_{FEAE774B-8813-4168-A8DC-BAD17A523D15}" xr6:coauthVersionLast="47" xr6:coauthVersionMax="47" xr10:uidLastSave="{DB2BE549-2DB1-4BCF-843E-819779E5834D}"/>
  <bookViews>
    <workbookView xWindow="-108" yWindow="-108" windowWidth="23256" windowHeight="12456" activeTab="1" xr2:uid="{C99C19EE-616E-4030-8DE1-574748274660}"/>
  </bookViews>
  <sheets>
    <sheet name="Pivot report" sheetId="1" r:id="rId1"/>
    <sheet name="Dashboard" sheetId="2" r:id="rId2"/>
    <sheet name="Daily ER No. of patient" sheetId="3" r:id="rId3"/>
    <sheet name="Average WT of Pateint" sheetId="4" r:id="rId4"/>
    <sheet name="Average PS score" sheetId="10" r:id="rId5"/>
  </sheets>
  <definedNames>
    <definedName name="Slicer_Date__Month">#N/A</definedName>
    <definedName name="Slicer_Date__Year">#N/A</definedName>
  </definedNames>
  <calcPr calcId="191029"/>
  <pivotCaches>
    <pivotCache cacheId="375" r:id="rId6"/>
    <pivotCache cacheId="378" r:id="rId7"/>
    <pivotCache cacheId="381" r:id="rId8"/>
    <pivotCache cacheId="384" r:id="rId9"/>
    <pivotCache cacheId="387" r:id="rId10"/>
    <pivotCache cacheId="390" r:id="rId11"/>
    <pivotCache cacheId="393" r:id="rId12"/>
    <pivotCache cacheId="396" r:id="rId13"/>
    <pivotCache cacheId="399" r:id="rId14"/>
    <pivotCache cacheId="402" r:id="rId15"/>
    <pivotCache cacheId="405" r:id="rId16"/>
    <pivotCache cacheId="408"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606c2826-61be-4934-af68-4138dae5638b" name="Hospital Emergency Room Data" connection="Query - Hospital Emergency Room Data"/>
          <x15:modelTable id="Calendar_Table_36b689fc-635c-4aa2-90f8-01381ebc4dba"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5" i="1" l="1"/>
  <c r="C56" i="1"/>
  <c r="B56" i="1"/>
  <c r="A56" i="1"/>
  <c r="B55" i="1"/>
  <c r="A5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BC1965-F9E5-4A72-80F3-1C3948C878E0}" name="Query - Calendar_Table" description="Connection to the 'Calendar_Table' query in the workbook." type="100" refreshedVersion="8" minRefreshableVersion="5">
    <extLst>
      <ext xmlns:x15="http://schemas.microsoft.com/office/spreadsheetml/2010/11/main" uri="{DE250136-89BD-433C-8126-D09CA5730AF9}">
        <x15:connection id="ff9a7c66-164f-4a32-a5a4-3ecab64e52a2"/>
      </ext>
    </extLst>
  </connection>
  <connection id="2" xr16:uid="{62BA1399-5643-400B-99DE-36AE86614E15}"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8c39462e-c5aa-44a4-af5c-bd093b8fedf8"/>
      </ext>
    </extLst>
  </connection>
  <connection id="3" xr16:uid="{94A86E57-47C5-4960-8291-B2BD2539909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<sst xmlns="http://schemas.openxmlformats.org/spreadsheetml/2006/main" count="150" uniqueCount="73">
  <si>
    <t>Distinct Count of Patient Id</t>
  </si>
  <si>
    <t>No. of Patients</t>
  </si>
  <si>
    <t>Average of Patient Waittime</t>
  </si>
  <si>
    <t>Average of Patient Satisfaction Score</t>
  </si>
  <si>
    <t>Row Labels</t>
  </si>
  <si>
    <t>Grand Total</t>
  </si>
  <si>
    <t>daily trends of no. of patients</t>
  </si>
  <si>
    <t>average wait time</t>
  </si>
  <si>
    <t>Average patient satisfaction score</t>
  </si>
  <si>
    <t>Admitted</t>
  </si>
  <si>
    <t>Not Admitted</t>
  </si>
  <si>
    <t>Count of Patient Admission Flag</t>
  </si>
  <si>
    <t>Count of Patient Admission Flag2</t>
  </si>
  <si>
    <t>Admission status</t>
  </si>
  <si>
    <t>% Status</t>
  </si>
  <si>
    <t>0-9</t>
  </si>
  <si>
    <t>10-19</t>
  </si>
  <si>
    <t>20-29</t>
  </si>
  <si>
    <t>30-39</t>
  </si>
  <si>
    <t>40-49</t>
  </si>
  <si>
    <t>50-59</t>
  </si>
  <si>
    <t>60-69</t>
  </si>
  <si>
    <t>70-79</t>
  </si>
  <si>
    <t>Count of Patient Age</t>
  </si>
  <si>
    <t>Age wise patient</t>
  </si>
  <si>
    <t>Delay</t>
  </si>
  <si>
    <t>Ontime</t>
  </si>
  <si>
    <t>Count of Patient attend Status</t>
  </si>
  <si>
    <t>attended status</t>
  </si>
  <si>
    <t>Female</t>
  </si>
  <si>
    <t>Male</t>
  </si>
  <si>
    <t>Count of Patient Gender</t>
  </si>
  <si>
    <t>Gender</t>
  </si>
  <si>
    <t>Cardiology</t>
  </si>
  <si>
    <t>Gastroenterology</t>
  </si>
  <si>
    <t>General Practice</t>
  </si>
  <si>
    <t>Neurology</t>
  </si>
  <si>
    <t>None</t>
  </si>
  <si>
    <t>Orthopedics</t>
  </si>
  <si>
    <t>Physiotherapy</t>
  </si>
  <si>
    <t>Renal</t>
  </si>
  <si>
    <t>Count of Department Referral</t>
  </si>
  <si>
    <t>department referal</t>
  </si>
  <si>
    <t>2024</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</si>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</sst>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9"/>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10" fontId="0" fillId="0" borderId="0" xfId="0" applyNumberFormat="1"/>
    <xf numFmtId="0" fontId="0" fillId="3" borderId="0" xfId="0" applyFill="1"/>
    <xf numFmtId="0" fontId="0" fillId="3" borderId="0" xfId="0" applyFill="1" applyAlignment="1">
      <alignment horizontal="center"/>
    </xf>
    <xf numFmtId="9" fontId="0" fillId="3" borderId="0" xfId="1" applyFont="1" applyFill="1" applyAlignment="1">
      <alignment horizontal="center"/>
    </xf>
    <xf numFmtId="0" fontId="0" fillId="4" borderId="0" xfId="0" applyFill="1" applyAlignment="1">
      <alignment horizontal="center"/>
    </xf>
    <xf numFmtId="0" fontId="0" fillId="4" borderId="0" xfId="0" applyFill="1"/>
    <xf numFmtId="1" fontId="0" fillId="0" borderId="0" xfId="0" applyNumberFormat="1"/>
    <xf numFmtId="0" fontId="0" fillId="0" borderId="0" xfId="0" applyNumberFormat="1"/>
  </cellXfs>
  <cellStyles count="2">
    <cellStyle name="Normal" xfId="0" builtinId="0"/>
    <cellStyle name="Percent" xfId="1" builtinId="5"/>
  </cellStyles>
  <dxfs count="90">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font>
        <b/>
        <color theme="1"/>
      </font>
      <border>
        <bottom style="thin">
          <color theme="9"/>
        </bottom>
        <vertical/>
        <horizontal/>
      </border>
    </dxf>
    <dxf>
      <font>
        <sz val="7"/>
        <color theme="1"/>
      </font>
      <fill>
        <patternFill>
          <bgColor theme="0"/>
        </patternFill>
      </fill>
      <border diagonalUp="0" diagonalDown="0">
        <left/>
        <right/>
        <top/>
        <bottom/>
        <vertical/>
        <horizontal/>
      </border>
    </dxf>
  </dxfs>
  <tableStyles count="1" defaultTableStyle="TableStyleMedium2" defaultPivotStyle="PivotStyleLight16">
    <tableStyle name="My style" pivot="0" table="0" count="10" xr9:uid="{58280E80-5CD7-40C6-A610-FF58D851F8BE}">
      <tableStyleElement type="wholeTable" dxfId="89"/>
      <tableStyleElement type="headerRow" dxfId="8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microsoft.com/office/2017/10/relationships/person" Target="persons/person.xml"/><Relationship Id="rId39" Type="http://schemas.openxmlformats.org/officeDocument/2006/relationships/customXml" Target="../customXml/item12.xml"/><Relationship Id="rId21" Type="http://schemas.openxmlformats.org/officeDocument/2006/relationships/theme" Target="theme/theme1.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2.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report!PivotTable6</c:name>
    <c:fmtId val="0"/>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dLbl>
          <c:idx val="0"/>
          <c:layout>
            <c:manualLayout>
              <c:x val="7.3338958976819982E-2"/>
              <c:y val="-3.6743715956609628E-2"/>
            </c:manualLayout>
          </c:layout>
          <c:tx>
            <c:rich>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mn-lt"/>
                    <a:ea typeface="+mn-ea"/>
                    <a:cs typeface="+mn-cs"/>
                  </a:defRPr>
                </a:pPr>
                <a:fld id="{D3025EC7-B9D6-4333-9093-9DB98A64954F}" type="CELLRANGE">
                  <a:rPr lang="en-US" sz="700"/>
                  <a:pPr>
                    <a:defRPr sz="700"/>
                  </a:pPr>
                  <a:t>[CELLRANGE]</a:t>
                </a:fld>
                <a:r>
                  <a:rPr lang="en-US" sz="700" baseline="0"/>
                  <a:t>, </a:t>
                </a:r>
              </a:p>
            </c:rich>
          </c:tx>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4318465101148854"/>
                  <c:h val="0.31807906553304427"/>
                </c:manualLayout>
              </c15:layout>
              <c15:dlblFieldTable/>
              <c15:showDataLabelsRange val="0"/>
            </c:ext>
          </c:extLst>
        </c:dLbl>
      </c:pivotFmt>
      <c:pivotFmt>
        <c:idx val="3"/>
        <c:spPr>
          <a:solidFill>
            <a:schemeClr val="accent6"/>
          </a:solidFill>
          <a:ln>
            <a:noFill/>
          </a:ln>
          <a:effectLst/>
        </c:spPr>
        <c:dLbl>
          <c:idx val="0"/>
          <c:layout>
            <c:manualLayout>
              <c:x val="2.5565006779759279E-2"/>
              <c:y val="2.4496775039733389E-2"/>
            </c:manualLayout>
          </c:layout>
          <c:tx>
            <c:rich>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mn-lt"/>
                    <a:ea typeface="+mn-ea"/>
                    <a:cs typeface="+mn-cs"/>
                  </a:defRPr>
                </a:pPr>
                <a:fld id="{8972BC22-3036-4796-B25B-F94A9003AC90}" type="CELLRANGE">
                  <a:rPr lang="en-US" sz="700"/>
                  <a:pPr>
                    <a:defRPr sz="700"/>
                  </a:pPr>
                  <a:t>[CELLRANGE]</a:t>
                </a:fld>
                <a:r>
                  <a:rPr lang="en-US" sz="700" baseline="0"/>
                  <a:t>, </a:t>
                </a:r>
              </a:p>
            </c:rich>
          </c:tx>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4318465101148854"/>
                  <c:h val="0.244591633619825"/>
                </c:manualLayout>
              </c15:layout>
              <c15:dlblFieldTable/>
              <c15:showDataLabelsRange val="0"/>
            </c:ext>
          </c:extLst>
        </c:dLbl>
      </c:pivotFmt>
    </c:pivotFmts>
    <c:plotArea>
      <c:layout>
        <c:manualLayout>
          <c:layoutTarget val="inner"/>
          <c:xMode val="edge"/>
          <c:yMode val="edge"/>
          <c:x val="3.111811554572844E-2"/>
          <c:y val="3.1720460321325764E-2"/>
          <c:w val="0.96888188445427159"/>
          <c:h val="0.96827953967867419"/>
        </c:manualLayout>
      </c:layout>
      <c:barChart>
        <c:barDir val="bar"/>
        <c:grouping val="clustered"/>
        <c:varyColors val="0"/>
        <c:ser>
          <c:idx val="0"/>
          <c:order val="0"/>
          <c:tx>
            <c:strRef>
              <c:f>'Pivot report'!$B$39</c:f>
              <c:strCache>
                <c:ptCount val="1"/>
                <c:pt idx="0">
                  <c:v>Count of Patient Admission Flag</c:v>
                </c:pt>
              </c:strCache>
            </c:strRef>
          </c:tx>
          <c:spPr>
            <a:solidFill>
              <a:schemeClr val="accent6"/>
            </a:solidFill>
            <a:ln>
              <a:noFill/>
            </a:ln>
            <a:effectLst/>
          </c:spPr>
          <c:invertIfNegative val="0"/>
          <c:dPt>
            <c:idx val="0"/>
            <c:invertIfNegative val="0"/>
            <c:bubble3D val="0"/>
          </c:dPt>
          <c:dPt>
            <c:idx val="1"/>
            <c:invertIfNegative val="0"/>
            <c:bubble3D val="0"/>
          </c:dPt>
          <c:dLbls>
            <c:dLbl>
              <c:idx val="0"/>
              <c:layout>
                <c:manualLayout>
                  <c:x val="7.3338958976819982E-2"/>
                  <c:y val="-3.6743715956609628E-2"/>
                </c:manualLayout>
              </c:layout>
              <c:tx>
                <c:rich>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mn-lt"/>
                        <a:ea typeface="+mn-ea"/>
                        <a:cs typeface="+mn-cs"/>
                      </a:defRPr>
                    </a:pPr>
                    <a:fld id="{D3025EC7-B9D6-4333-9093-9DB98A64954F}" type="CELLRANGE">
                      <a:rPr lang="en-US" sz="700"/>
                      <a:pPr>
                        <a:defRPr sz="700"/>
                      </a:pPr>
                      <a:t>[CELLRANGE]</a:t>
                    </a:fld>
                    <a:r>
                      <a:rPr lang="en-US" sz="700" baseline="0"/>
                      <a:t>, </a:t>
                    </a:r>
                  </a:p>
                </c:rich>
              </c:tx>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4318465101148854"/>
                      <c:h val="0.31807906553304427"/>
                    </c:manualLayout>
                  </c15:layout>
                  <c15:dlblFieldTable/>
                  <c15:showDataLabelsRange val="0"/>
                </c:ext>
              </c:extLst>
            </c:dLbl>
            <c:dLbl>
              <c:idx val="1"/>
              <c:layout>
                <c:manualLayout>
                  <c:x val="2.5565006779759279E-2"/>
                  <c:y val="2.4496775039733389E-2"/>
                </c:manualLayout>
              </c:layout>
              <c:tx>
                <c:rich>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mn-lt"/>
                        <a:ea typeface="+mn-ea"/>
                        <a:cs typeface="+mn-cs"/>
                      </a:defRPr>
                    </a:pPr>
                    <a:fld id="{8972BC22-3036-4796-B25B-F94A9003AC90}" type="CELLRANGE">
                      <a:rPr lang="en-US" sz="700"/>
                      <a:pPr>
                        <a:defRPr sz="700"/>
                      </a:pPr>
                      <a:t>[CELLRANGE]</a:t>
                    </a:fld>
                    <a:r>
                      <a:rPr lang="en-US" sz="700" baseline="0"/>
                      <a:t>, </a:t>
                    </a:r>
                  </a:p>
                </c:rich>
              </c:tx>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4318465101148854"/>
                      <c:h val="0.244591633619825"/>
                    </c:manualLayout>
                  </c15:layout>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report'!$A$40:$A$42</c:f>
              <c:strCache>
                <c:ptCount val="2"/>
                <c:pt idx="0">
                  <c:v>Admitted</c:v>
                </c:pt>
                <c:pt idx="1">
                  <c:v>Not Admitted</c:v>
                </c:pt>
              </c:strCache>
            </c:strRef>
          </c:cat>
          <c:val>
            <c:numRef>
              <c:f>'Pivot report'!$B$40:$B$42</c:f>
              <c:numCache>
                <c:formatCode>0.00</c:formatCode>
                <c:ptCount val="2"/>
                <c:pt idx="0">
                  <c:v>224</c:v>
                </c:pt>
                <c:pt idx="1">
                  <c:v>207</c:v>
                </c:pt>
              </c:numCache>
            </c:numRef>
          </c:val>
          <c:extLst>
            <c:ext xmlns:c16="http://schemas.microsoft.com/office/drawing/2014/chart" uri="{C3380CC4-5D6E-409C-BE32-E72D297353CC}">
              <c16:uniqueId val="{00000005-F3ED-4566-B862-6C046702BF76}"/>
            </c:ext>
          </c:extLst>
        </c:ser>
        <c:ser>
          <c:idx val="1"/>
          <c:order val="1"/>
          <c:tx>
            <c:strRef>
              <c:f>'Pivot report'!$C$39</c:f>
              <c:strCache>
                <c:ptCount val="1"/>
                <c:pt idx="0">
                  <c:v>Count of Patient Admission Flag2</c:v>
                </c:pt>
              </c:strCache>
            </c:strRef>
          </c:tx>
          <c:spPr>
            <a:solidFill>
              <a:schemeClr val="accent5"/>
            </a:solidFill>
            <a:ln>
              <a:noFill/>
            </a:ln>
            <a:effectLst/>
          </c:spPr>
          <c:invertIfNegative val="0"/>
          <c:cat>
            <c:strRef>
              <c:f>'Pivot report'!$A$40:$A$42</c:f>
              <c:strCache>
                <c:ptCount val="2"/>
                <c:pt idx="0">
                  <c:v>Admitted</c:v>
                </c:pt>
                <c:pt idx="1">
                  <c:v>Not Admitted</c:v>
                </c:pt>
              </c:strCache>
            </c:strRef>
          </c:cat>
          <c:val>
            <c:numRef>
              <c:f>'Pivot report'!$C$40:$C$42</c:f>
              <c:numCache>
                <c:formatCode>0.00%</c:formatCode>
                <c:ptCount val="2"/>
                <c:pt idx="0">
                  <c:v>0.51972157772621808</c:v>
                </c:pt>
                <c:pt idx="1">
                  <c:v>0.48027842227378192</c:v>
                </c:pt>
              </c:numCache>
            </c:numRef>
          </c:val>
          <c:extLst>
            <c:ext xmlns:c16="http://schemas.microsoft.com/office/drawing/2014/chart" uri="{C3380CC4-5D6E-409C-BE32-E72D297353CC}">
              <c16:uniqueId val="{00000006-F3ED-4566-B862-6C046702BF76}"/>
            </c:ext>
          </c:extLst>
        </c:ser>
        <c:dLbls>
          <c:showLegendKey val="0"/>
          <c:showVal val="0"/>
          <c:showCatName val="0"/>
          <c:showSerName val="0"/>
          <c:showPercent val="0"/>
          <c:showBubbleSize val="0"/>
        </c:dLbls>
        <c:gapWidth val="182"/>
        <c:axId val="1387960511"/>
        <c:axId val="1387955231"/>
      </c:barChart>
      <c:catAx>
        <c:axId val="1387960511"/>
        <c:scaling>
          <c:orientation val="minMax"/>
        </c:scaling>
        <c:delete val="1"/>
        <c:axPos val="l"/>
        <c:numFmt formatCode="General" sourceLinked="1"/>
        <c:majorTickMark val="none"/>
        <c:minorTickMark val="none"/>
        <c:tickLblPos val="nextTo"/>
        <c:crossAx val="1387955231"/>
        <c:crosses val="autoZero"/>
        <c:auto val="1"/>
        <c:lblAlgn val="ctr"/>
        <c:lblOffset val="100"/>
        <c:noMultiLvlLbl val="0"/>
      </c:catAx>
      <c:valAx>
        <c:axId val="1387955231"/>
        <c:scaling>
          <c:orientation val="minMax"/>
        </c:scaling>
        <c:delete val="1"/>
        <c:axPos val="b"/>
        <c:numFmt formatCode="0.00" sourceLinked="1"/>
        <c:majorTickMark val="none"/>
        <c:minorTickMark val="none"/>
        <c:tickLblPos val="nextTo"/>
        <c:crossAx val="1387960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report!PivotTable4</c:name>
    <c:fmtId val="2"/>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9933130745974E-2"/>
          <c:y val="0"/>
          <c:w val="0.95705462917257966"/>
          <c:h val="1"/>
        </c:manualLayout>
      </c:layout>
      <c:areaChart>
        <c:grouping val="standard"/>
        <c:varyColors val="0"/>
        <c:ser>
          <c:idx val="0"/>
          <c:order val="0"/>
          <c:tx>
            <c:strRef>
              <c:f>'Pivot report'!$D$4</c:f>
              <c:strCache>
                <c:ptCount val="1"/>
                <c:pt idx="0">
                  <c:v>Total</c:v>
                </c:pt>
              </c:strCache>
            </c:strRef>
          </c:tx>
          <c:spPr>
            <a:solidFill>
              <a:schemeClr val="accent6"/>
            </a:solidFill>
            <a:ln w="25400">
              <a:noFill/>
            </a:ln>
            <a:effectLst/>
          </c:spPr>
          <c:cat>
            <c:strRef>
              <c:f>'Pivot report'!$C$5:$C$34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report'!$D$5:$D$34</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2-389A-4D5D-9A52-4B88A4CCBF44}"/>
            </c:ext>
          </c:extLst>
        </c:ser>
        <c:dLbls>
          <c:showLegendKey val="0"/>
          <c:showVal val="0"/>
          <c:showCatName val="0"/>
          <c:showSerName val="0"/>
          <c:showPercent val="0"/>
          <c:showBubbleSize val="0"/>
        </c:dLbls>
        <c:axId val="1753295056"/>
        <c:axId val="1753293136"/>
      </c:areaChart>
      <c:catAx>
        <c:axId val="1753295056"/>
        <c:scaling>
          <c:orientation val="minMax"/>
        </c:scaling>
        <c:delete val="1"/>
        <c:axPos val="b"/>
        <c:numFmt formatCode="General" sourceLinked="1"/>
        <c:majorTickMark val="out"/>
        <c:minorTickMark val="none"/>
        <c:tickLblPos val="nextTo"/>
        <c:crossAx val="1753293136"/>
        <c:crosses val="autoZero"/>
        <c:auto val="1"/>
        <c:lblAlgn val="ctr"/>
        <c:lblOffset val="100"/>
        <c:noMultiLvlLbl val="0"/>
      </c:catAx>
      <c:valAx>
        <c:axId val="1753293136"/>
        <c:scaling>
          <c:orientation val="minMax"/>
        </c:scaling>
        <c:delete val="1"/>
        <c:axPos val="l"/>
        <c:numFmt formatCode="General" sourceLinked="1"/>
        <c:majorTickMark val="none"/>
        <c:minorTickMark val="none"/>
        <c:tickLblPos val="nextTo"/>
        <c:crossAx val="17532950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report!PivotTable5</c:name>
    <c:fmtId val="21"/>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165078407586384E-2"/>
          <c:y val="7.8732138033644927E-2"/>
          <c:w val="0.94930285886634447"/>
          <c:h val="0.87627806880427217"/>
        </c:manualLayout>
      </c:layout>
      <c:areaChart>
        <c:grouping val="standard"/>
        <c:varyColors val="0"/>
        <c:ser>
          <c:idx val="0"/>
          <c:order val="0"/>
          <c:tx>
            <c:strRef>
              <c:f>'Pivot report'!$I$4</c:f>
              <c:strCache>
                <c:ptCount val="1"/>
                <c:pt idx="0">
                  <c:v>Total</c:v>
                </c:pt>
              </c:strCache>
            </c:strRef>
          </c:tx>
          <c:spPr>
            <a:solidFill>
              <a:schemeClr val="accent6"/>
            </a:solidFill>
            <a:ln w="25400">
              <a:noFill/>
            </a:ln>
            <a:effectLst/>
          </c:spPr>
          <c:cat>
            <c:strRef>
              <c:f>'Pivot report'!$H$5:$H$34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report'!$I$5:$I$34</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2-CF1A-4C76-807C-66BC97E5E295}"/>
            </c:ext>
          </c:extLst>
        </c:ser>
        <c:dLbls>
          <c:showLegendKey val="0"/>
          <c:showVal val="0"/>
          <c:showCatName val="0"/>
          <c:showSerName val="0"/>
          <c:showPercent val="0"/>
          <c:showBubbleSize val="0"/>
        </c:dLbls>
        <c:axId val="57523616"/>
        <c:axId val="57521216"/>
      </c:areaChart>
      <c:catAx>
        <c:axId val="57523616"/>
        <c:scaling>
          <c:orientation val="minMax"/>
        </c:scaling>
        <c:delete val="1"/>
        <c:axPos val="b"/>
        <c:numFmt formatCode="General" sourceLinked="1"/>
        <c:majorTickMark val="out"/>
        <c:minorTickMark val="none"/>
        <c:tickLblPos val="nextTo"/>
        <c:crossAx val="57521216"/>
        <c:crosses val="autoZero"/>
        <c:auto val="1"/>
        <c:lblAlgn val="ctr"/>
        <c:lblOffset val="100"/>
        <c:noMultiLvlLbl val="0"/>
      </c:catAx>
      <c:valAx>
        <c:axId val="57521216"/>
        <c:scaling>
          <c:orientation val="minMax"/>
        </c:scaling>
        <c:delete val="1"/>
        <c:axPos val="l"/>
        <c:numFmt formatCode="0.00" sourceLinked="1"/>
        <c:majorTickMark val="none"/>
        <c:minorTickMark val="none"/>
        <c:tickLblPos val="nextTo"/>
        <c:crossAx val="575236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report!PivotTable8</c:name>
    <c:fmtId val="34"/>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939671734999597E-2"/>
          <c:y val="1.4355830162616514E-2"/>
          <c:w val="0.97490859087700077"/>
          <c:h val="0.97048313208795567"/>
        </c:manualLayout>
      </c:layout>
      <c:areaChart>
        <c:grouping val="standard"/>
        <c:varyColors val="0"/>
        <c:ser>
          <c:idx val="0"/>
          <c:order val="0"/>
          <c:tx>
            <c:strRef>
              <c:f>'Pivot report'!$P$4</c:f>
              <c:strCache>
                <c:ptCount val="1"/>
                <c:pt idx="0">
                  <c:v>Total</c:v>
                </c:pt>
              </c:strCache>
            </c:strRef>
          </c:tx>
          <c:spPr>
            <a:solidFill>
              <a:schemeClr val="accent6"/>
            </a:solidFill>
            <a:ln w="25400">
              <a:noFill/>
            </a:ln>
            <a:effectLst/>
          </c:spPr>
          <c:cat>
            <c:strRef>
              <c:f>'Pivot report'!$O$5:$O$33</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 report'!$P$5:$P$33</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2-5D5D-4403-A8B2-078970363D65}"/>
            </c:ext>
          </c:extLst>
        </c:ser>
        <c:dLbls>
          <c:showLegendKey val="0"/>
          <c:showVal val="0"/>
          <c:showCatName val="0"/>
          <c:showSerName val="0"/>
          <c:showPercent val="0"/>
          <c:showBubbleSize val="0"/>
        </c:dLbls>
        <c:axId val="1387824863"/>
        <c:axId val="1387825343"/>
      </c:areaChart>
      <c:catAx>
        <c:axId val="1387824863"/>
        <c:scaling>
          <c:orientation val="minMax"/>
        </c:scaling>
        <c:delete val="1"/>
        <c:axPos val="b"/>
        <c:numFmt formatCode="General" sourceLinked="1"/>
        <c:majorTickMark val="out"/>
        <c:minorTickMark val="none"/>
        <c:tickLblPos val="nextTo"/>
        <c:crossAx val="1387825343"/>
        <c:crosses val="autoZero"/>
        <c:auto val="1"/>
        <c:lblAlgn val="ctr"/>
        <c:lblOffset val="100"/>
        <c:noMultiLvlLbl val="0"/>
      </c:catAx>
      <c:valAx>
        <c:axId val="1387825343"/>
        <c:scaling>
          <c:orientation val="minMax"/>
        </c:scaling>
        <c:delete val="1"/>
        <c:axPos val="l"/>
        <c:numFmt formatCode="0.00" sourceLinked="1"/>
        <c:majorTickMark val="none"/>
        <c:minorTickMark val="none"/>
        <c:tickLblPos val="nextTo"/>
        <c:crossAx val="13878248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report!PivotTable7</c:name>
    <c:fmtId val="23"/>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032350574686827E-3"/>
          <c:y val="5.7547697752241299E-2"/>
          <c:w val="0.95960276113376108"/>
          <c:h val="0.61187007881442568"/>
        </c:manualLayout>
      </c:layout>
      <c:barChart>
        <c:barDir val="col"/>
        <c:grouping val="clustered"/>
        <c:varyColors val="0"/>
        <c:ser>
          <c:idx val="0"/>
          <c:order val="0"/>
          <c:tx>
            <c:strRef>
              <c:f>'Pivot report'!$B$60</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report'!$A$61:$A$69</c:f>
              <c:strCache>
                <c:ptCount val="8"/>
                <c:pt idx="0">
                  <c:v>0-9</c:v>
                </c:pt>
                <c:pt idx="1">
                  <c:v>10-19</c:v>
                </c:pt>
                <c:pt idx="2">
                  <c:v>20-29</c:v>
                </c:pt>
                <c:pt idx="3">
                  <c:v>30-39</c:v>
                </c:pt>
                <c:pt idx="4">
                  <c:v>40-49</c:v>
                </c:pt>
                <c:pt idx="5">
                  <c:v>50-59</c:v>
                </c:pt>
                <c:pt idx="6">
                  <c:v>60-69</c:v>
                </c:pt>
                <c:pt idx="7">
                  <c:v>70-79</c:v>
                </c:pt>
              </c:strCache>
            </c:strRef>
          </c:cat>
          <c:val>
            <c:numRef>
              <c:f>'Pivot report'!$B$61:$B$69</c:f>
              <c:numCache>
                <c:formatCode>0</c:formatCode>
                <c:ptCount val="8"/>
                <c:pt idx="0">
                  <c:v>42</c:v>
                </c:pt>
                <c:pt idx="1">
                  <c:v>46</c:v>
                </c:pt>
                <c:pt idx="2">
                  <c:v>54</c:v>
                </c:pt>
                <c:pt idx="3">
                  <c:v>68</c:v>
                </c:pt>
                <c:pt idx="4">
                  <c:v>62</c:v>
                </c:pt>
                <c:pt idx="5">
                  <c:v>52</c:v>
                </c:pt>
                <c:pt idx="6">
                  <c:v>54</c:v>
                </c:pt>
                <c:pt idx="7">
                  <c:v>53</c:v>
                </c:pt>
              </c:numCache>
            </c:numRef>
          </c:val>
          <c:extLst>
            <c:ext xmlns:c16="http://schemas.microsoft.com/office/drawing/2014/chart" uri="{C3380CC4-5D6E-409C-BE32-E72D297353CC}">
              <c16:uniqueId val="{00000002-C6F4-4FCC-B0E7-B7F46BC15A55}"/>
            </c:ext>
          </c:extLst>
        </c:ser>
        <c:dLbls>
          <c:showLegendKey val="0"/>
          <c:showVal val="0"/>
          <c:showCatName val="0"/>
          <c:showSerName val="0"/>
          <c:showPercent val="0"/>
          <c:showBubbleSize val="0"/>
        </c:dLbls>
        <c:gapWidth val="219"/>
        <c:overlap val="-27"/>
        <c:axId val="1829414895"/>
        <c:axId val="1829413935"/>
      </c:barChart>
      <c:catAx>
        <c:axId val="1829414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413935"/>
        <c:crosses val="autoZero"/>
        <c:auto val="1"/>
        <c:lblAlgn val="ctr"/>
        <c:lblOffset val="100"/>
        <c:noMultiLvlLbl val="0"/>
      </c:catAx>
      <c:valAx>
        <c:axId val="1829413935"/>
        <c:scaling>
          <c:orientation val="minMax"/>
        </c:scaling>
        <c:delete val="1"/>
        <c:axPos val="l"/>
        <c:numFmt formatCode="0" sourceLinked="1"/>
        <c:majorTickMark val="none"/>
        <c:minorTickMark val="none"/>
        <c:tickLblPos val="nextTo"/>
        <c:crossAx val="1829414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report!PivotTable9</c:name>
    <c:fmtId val="2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solidFill>
          <a:ln>
            <a:noFill/>
          </a:ln>
          <a:effectLst>
            <a:outerShdw blurRad="317500" algn="ctr" rotWithShape="0">
              <a:prstClr val="black">
                <a:alpha val="25000"/>
              </a:prstClr>
            </a:outerShdw>
          </a:effectLst>
        </c:spPr>
      </c:pivotFmt>
      <c:pivotFmt>
        <c:idx val="6"/>
        <c:spPr>
          <a:solidFill>
            <a:schemeClr val="accent6"/>
          </a:solidFill>
          <a:ln>
            <a:noFill/>
          </a:ln>
          <a:effectLst>
            <a:outerShdw blurRad="317500" algn="ctr" rotWithShape="0">
              <a:prstClr val="black">
                <a:alpha val="25000"/>
              </a:prstClr>
            </a:outerShdw>
          </a:effectLst>
        </c:spPr>
      </c:pivotFmt>
    </c:pivotFmts>
    <c:plotArea>
      <c:layout>
        <c:manualLayout>
          <c:layoutTarget val="inner"/>
          <c:xMode val="edge"/>
          <c:yMode val="edge"/>
          <c:x val="0.19224438738560806"/>
          <c:y val="0.21900406364829572"/>
          <c:w val="0.67828400133007649"/>
          <c:h val="0.7433982841156016"/>
        </c:manualLayout>
      </c:layout>
      <c:pieChart>
        <c:varyColors val="1"/>
        <c:ser>
          <c:idx val="0"/>
          <c:order val="0"/>
          <c:tx>
            <c:strRef>
              <c:f>'Pivot report'!$B$73</c:f>
              <c:strCache>
                <c:ptCount val="1"/>
                <c:pt idx="0">
                  <c:v>Total</c:v>
                </c:pt>
              </c:strCache>
            </c:strRef>
          </c:tx>
          <c:dPt>
            <c:idx val="0"/>
            <c:bubble3D val="0"/>
            <c:spPr>
              <a:solidFill>
                <a:schemeClr val="accent6"/>
              </a:solidFill>
              <a:ln>
                <a:noFill/>
              </a:ln>
              <a:effectLst>
                <a:outerShdw blurRad="317500" algn="ctr" rotWithShape="0">
                  <a:prstClr val="black">
                    <a:alpha val="25000"/>
                  </a:prstClr>
                </a:outerShdw>
              </a:effectLst>
            </c:spPr>
          </c:dPt>
          <c:dPt>
            <c:idx val="1"/>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report'!$A$74:$A$76</c:f>
              <c:strCache>
                <c:ptCount val="2"/>
                <c:pt idx="0">
                  <c:v>Delay</c:v>
                </c:pt>
                <c:pt idx="1">
                  <c:v>Ontime</c:v>
                </c:pt>
              </c:strCache>
            </c:strRef>
          </c:cat>
          <c:val>
            <c:numRef>
              <c:f>'Pivot report'!$B$74:$B$76</c:f>
              <c:numCache>
                <c:formatCode>0</c:formatCode>
                <c:ptCount val="2"/>
                <c:pt idx="0">
                  <c:v>283</c:v>
                </c:pt>
                <c:pt idx="1">
                  <c:v>148</c:v>
                </c:pt>
              </c:numCache>
            </c:numRef>
          </c:val>
          <c:extLst>
            <c:ext xmlns:c16="http://schemas.microsoft.com/office/drawing/2014/chart" uri="{C3380CC4-5D6E-409C-BE32-E72D297353CC}">
              <c16:uniqueId val="{00000006-9C2E-4386-A8D4-95EEEDBFCC0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4.7474250696731168E-2"/>
          <c:y val="8.4134439101915107E-2"/>
          <c:w val="0.94195723830660827"/>
          <c:h val="0"/>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report!PivotTable10</c:name>
    <c:fmtId val="40"/>
  </c:pivotSource>
  <c:chart>
    <c:autoTitleDeleted val="1"/>
    <c:pivotFmts>
      <c:pivotFmt>
        <c:idx val="0"/>
        <c:spPr>
          <a:solidFill>
            <a:schemeClr val="accent6"/>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317500" algn="ctr" rotWithShape="0">
              <a:prstClr val="black">
                <a:alpha val="25000"/>
              </a:prstClr>
            </a:outerShdw>
          </a:effectLst>
        </c:spPr>
      </c:pivotFmt>
      <c:pivotFmt>
        <c:idx val="3"/>
        <c:spPr>
          <a:solidFill>
            <a:schemeClr val="accent6"/>
          </a:solidFill>
          <a:ln>
            <a:noFill/>
          </a:ln>
          <a:effectLst>
            <a:outerShdw blurRad="317500" algn="ctr" rotWithShape="0">
              <a:prstClr val="black">
                <a:alpha val="25000"/>
              </a:prstClr>
            </a:outerShdw>
          </a:effectLst>
        </c:spPr>
      </c:pivotFmt>
      <c:pivotFmt>
        <c:idx val="4"/>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solidFill>
          <a:ln>
            <a:noFill/>
          </a:ln>
          <a:effectLst>
            <a:outerShdw blurRad="317500" algn="ctr" rotWithShape="0">
              <a:prstClr val="black">
                <a:alpha val="25000"/>
              </a:prstClr>
            </a:outerShdw>
          </a:effectLst>
        </c:spPr>
      </c:pivotFmt>
      <c:pivotFmt>
        <c:idx val="6"/>
        <c:spPr>
          <a:solidFill>
            <a:schemeClr val="accent6"/>
          </a:solidFill>
          <a:ln>
            <a:noFill/>
          </a:ln>
          <a:effectLst>
            <a:outerShdw blurRad="317500" algn="ctr" rotWithShape="0">
              <a:prstClr val="black">
                <a:alpha val="25000"/>
              </a:prstClr>
            </a:outerShdw>
          </a:effectLst>
        </c:spPr>
      </c:pivotFmt>
    </c:pivotFmts>
    <c:plotArea>
      <c:layout>
        <c:manualLayout>
          <c:layoutTarget val="inner"/>
          <c:xMode val="edge"/>
          <c:yMode val="edge"/>
          <c:x val="0.21626106006248486"/>
          <c:y val="0.22092618753881263"/>
          <c:w val="0.61001376439043176"/>
          <c:h val="0.66084819784947035"/>
        </c:manualLayout>
      </c:layout>
      <c:doughnutChart>
        <c:varyColors val="1"/>
        <c:ser>
          <c:idx val="0"/>
          <c:order val="0"/>
          <c:tx>
            <c:strRef>
              <c:f>'Pivot report'!$B$80</c:f>
              <c:strCache>
                <c:ptCount val="1"/>
                <c:pt idx="0">
                  <c:v>Total</c:v>
                </c:pt>
              </c:strCache>
            </c:strRef>
          </c:tx>
          <c:dPt>
            <c:idx val="0"/>
            <c:bubble3D val="0"/>
            <c:spPr>
              <a:solidFill>
                <a:schemeClr val="accent6"/>
              </a:solidFill>
              <a:ln>
                <a:noFill/>
              </a:ln>
              <a:effectLst>
                <a:outerShdw blurRad="317500" algn="ctr" rotWithShape="0">
                  <a:prstClr val="black">
                    <a:alpha val="25000"/>
                  </a:prstClr>
                </a:outerShdw>
              </a:effectLst>
            </c:spPr>
          </c:dPt>
          <c:dPt>
            <c:idx val="1"/>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report'!$A$81:$A$83</c:f>
              <c:strCache>
                <c:ptCount val="2"/>
                <c:pt idx="0">
                  <c:v>Female</c:v>
                </c:pt>
                <c:pt idx="1">
                  <c:v>Male</c:v>
                </c:pt>
              </c:strCache>
            </c:strRef>
          </c:cat>
          <c:val>
            <c:numRef>
              <c:f>'Pivot report'!$B$81:$B$83</c:f>
              <c:numCache>
                <c:formatCode>0</c:formatCode>
                <c:ptCount val="2"/>
                <c:pt idx="0">
                  <c:v>194</c:v>
                </c:pt>
                <c:pt idx="1">
                  <c:v>237</c:v>
                </c:pt>
              </c:numCache>
            </c:numRef>
          </c:val>
          <c:extLst>
            <c:ext xmlns:c16="http://schemas.microsoft.com/office/drawing/2014/chart" uri="{C3380CC4-5D6E-409C-BE32-E72D297353CC}">
              <c16:uniqueId val="{00000006-049E-4C3A-A7D5-2F8664675E31}"/>
            </c:ext>
          </c:extLst>
        </c:ser>
        <c:dLbls>
          <c:showLegendKey val="0"/>
          <c:showVal val="0"/>
          <c:showCatName val="0"/>
          <c:showSerName val="0"/>
          <c:showPercent val="1"/>
          <c:showBubbleSize val="0"/>
          <c:showLeaderLines val="1"/>
        </c:dLbls>
        <c:firstSliceAng val="0"/>
        <c:holeSize val="55"/>
      </c:doughnutChart>
      <c:spPr>
        <a:noFill/>
        <a:ln>
          <a:noFill/>
        </a:ln>
        <a:effectLst/>
      </c:spPr>
    </c:plotArea>
    <c:legend>
      <c:legendPos val="r"/>
      <c:layout>
        <c:manualLayout>
          <c:xMode val="edge"/>
          <c:yMode val="edge"/>
          <c:x val="4.5391825178613406E-2"/>
          <c:y val="5.3127043330110056E-2"/>
          <c:w val="0.88970430409763179"/>
          <c:h val="0"/>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report!PivotTable11</c:name>
    <c:fmtId val="45"/>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949932520539254"/>
          <c:y val="4.4499031918311137E-2"/>
          <c:w val="0.58943796139469995"/>
          <c:h val="0.9151801486818526"/>
        </c:manualLayout>
      </c:layout>
      <c:barChart>
        <c:barDir val="bar"/>
        <c:grouping val="clustered"/>
        <c:varyColors val="0"/>
        <c:ser>
          <c:idx val="0"/>
          <c:order val="0"/>
          <c:tx>
            <c:strRef>
              <c:f>'Pivot report'!$B$88</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report'!$A$89:$A$97</c:f>
              <c:strCache>
                <c:ptCount val="8"/>
                <c:pt idx="0">
                  <c:v>Neurology</c:v>
                </c:pt>
                <c:pt idx="1">
                  <c:v>Gastroenterology</c:v>
                </c:pt>
                <c:pt idx="2">
                  <c:v>Renal</c:v>
                </c:pt>
                <c:pt idx="3">
                  <c:v>Cardiology</c:v>
                </c:pt>
                <c:pt idx="4">
                  <c:v>Physiotherapy</c:v>
                </c:pt>
                <c:pt idx="5">
                  <c:v>Orthopedics</c:v>
                </c:pt>
                <c:pt idx="6">
                  <c:v>General Practice</c:v>
                </c:pt>
                <c:pt idx="7">
                  <c:v>None</c:v>
                </c:pt>
              </c:strCache>
            </c:strRef>
          </c:cat>
          <c:val>
            <c:numRef>
              <c:f>'Pivot report'!$B$89:$B$97</c:f>
              <c:numCache>
                <c:formatCode>0</c:formatCode>
                <c:ptCount val="8"/>
                <c:pt idx="0">
                  <c:v>6</c:v>
                </c:pt>
                <c:pt idx="1">
                  <c:v>6</c:v>
                </c:pt>
                <c:pt idx="2">
                  <c:v>6</c:v>
                </c:pt>
                <c:pt idx="3">
                  <c:v>12</c:v>
                </c:pt>
                <c:pt idx="4">
                  <c:v>14</c:v>
                </c:pt>
                <c:pt idx="5">
                  <c:v>46</c:v>
                </c:pt>
                <c:pt idx="6">
                  <c:v>89</c:v>
                </c:pt>
                <c:pt idx="7">
                  <c:v>252</c:v>
                </c:pt>
              </c:numCache>
            </c:numRef>
          </c:val>
          <c:extLst>
            <c:ext xmlns:c16="http://schemas.microsoft.com/office/drawing/2014/chart" uri="{C3380CC4-5D6E-409C-BE32-E72D297353CC}">
              <c16:uniqueId val="{00000002-750C-441F-8373-53F262C5A673}"/>
            </c:ext>
          </c:extLst>
        </c:ser>
        <c:dLbls>
          <c:showLegendKey val="0"/>
          <c:showVal val="0"/>
          <c:showCatName val="0"/>
          <c:showSerName val="0"/>
          <c:showPercent val="0"/>
          <c:showBubbleSize val="0"/>
        </c:dLbls>
        <c:gapWidth val="182"/>
        <c:axId val="706863183"/>
        <c:axId val="706849263"/>
      </c:barChart>
      <c:catAx>
        <c:axId val="706863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849263"/>
        <c:crosses val="autoZero"/>
        <c:auto val="1"/>
        <c:lblAlgn val="ctr"/>
        <c:lblOffset val="100"/>
        <c:noMultiLvlLbl val="0"/>
      </c:catAx>
      <c:valAx>
        <c:axId val="706849263"/>
        <c:scaling>
          <c:orientation val="minMax"/>
        </c:scaling>
        <c:delete val="1"/>
        <c:axPos val="b"/>
        <c:numFmt formatCode="0" sourceLinked="1"/>
        <c:majorTickMark val="none"/>
        <c:minorTickMark val="none"/>
        <c:tickLblPos val="nextTo"/>
        <c:crossAx val="70686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report!PivotTable4</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375501603212304E-2"/>
          <c:y val="2.3367295835559628E-2"/>
          <c:w val="0.9217619039703604"/>
          <c:h val="0.74133604452700108"/>
        </c:manualLayout>
      </c:layout>
      <c:areaChart>
        <c:grouping val="standard"/>
        <c:varyColors val="0"/>
        <c:ser>
          <c:idx val="0"/>
          <c:order val="0"/>
          <c:tx>
            <c:strRef>
              <c:f>'Pivot report'!$D$4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report'!$C$5:$C$34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report'!$D$5:$D$34</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1-1D0C-44C0-8A22-F767C0A05FFF}"/>
            </c:ext>
          </c:extLst>
        </c:ser>
        <c:dLbls>
          <c:showLegendKey val="0"/>
          <c:showVal val="1"/>
          <c:showCatName val="0"/>
          <c:showSerName val="0"/>
          <c:showPercent val="0"/>
          <c:showBubbleSize val="0"/>
        </c:dLbls>
        <c:axId val="1753295056"/>
        <c:axId val="1753293136"/>
      </c:areaChart>
      <c:catAx>
        <c:axId val="1753295056"/>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3293136"/>
        <c:crosses val="autoZero"/>
        <c:auto val="1"/>
        <c:lblAlgn val="ctr"/>
        <c:lblOffset val="100"/>
        <c:noMultiLvlLbl val="0"/>
      </c:catAx>
      <c:valAx>
        <c:axId val="1753293136"/>
        <c:scaling>
          <c:orientation val="minMax"/>
        </c:scaling>
        <c:delete val="1"/>
        <c:axPos val="l"/>
        <c:numFmt formatCode="General" sourceLinked="1"/>
        <c:majorTickMark val="none"/>
        <c:minorTickMark val="none"/>
        <c:tickLblPos val="nextTo"/>
        <c:crossAx val="17532950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report!PivotTable5</c:name>
    <c:fmtId val="2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888382486319895E-2"/>
          <c:y val="5.0862940577012211E-2"/>
          <c:w val="0.94222323502736016"/>
          <c:h val="0.7125399175780065"/>
        </c:manualLayout>
      </c:layout>
      <c:areaChart>
        <c:grouping val="standard"/>
        <c:varyColors val="0"/>
        <c:ser>
          <c:idx val="0"/>
          <c:order val="0"/>
          <c:tx>
            <c:strRef>
              <c:f>'Pivot report'!$I$4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report'!$H$5:$H$34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report'!$I$5:$I$34</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1-EBAB-40BA-8CEB-E65C4DDD6A5B}"/>
            </c:ext>
          </c:extLst>
        </c:ser>
        <c:dLbls>
          <c:showLegendKey val="0"/>
          <c:showVal val="0"/>
          <c:showCatName val="0"/>
          <c:showSerName val="0"/>
          <c:showPercent val="0"/>
          <c:showBubbleSize val="0"/>
        </c:dLbls>
        <c:axId val="57523616"/>
        <c:axId val="57521216"/>
      </c:areaChart>
      <c:catAx>
        <c:axId val="57523616"/>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521216"/>
        <c:crosses val="autoZero"/>
        <c:auto val="1"/>
        <c:lblAlgn val="ctr"/>
        <c:lblOffset val="100"/>
        <c:noMultiLvlLbl val="0"/>
      </c:catAx>
      <c:valAx>
        <c:axId val="57521216"/>
        <c:scaling>
          <c:orientation val="minMax"/>
        </c:scaling>
        <c:delete val="1"/>
        <c:axPos val="l"/>
        <c:numFmt formatCode="0.00" sourceLinked="1"/>
        <c:majorTickMark val="none"/>
        <c:minorTickMark val="none"/>
        <c:tickLblPos val="nextTo"/>
        <c:crossAx val="575236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report!PivotTable8</c:name>
    <c:fmtId val="3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727606081999514E-2"/>
          <c:y val="3.34969370461052E-2"/>
          <c:w val="0.93866544436600174"/>
          <c:h val="0.79821317013655746"/>
        </c:manualLayout>
      </c:layout>
      <c:areaChart>
        <c:grouping val="standard"/>
        <c:varyColors val="0"/>
        <c:ser>
          <c:idx val="0"/>
          <c:order val="0"/>
          <c:tx>
            <c:strRef>
              <c:f>'Pivot report'!$P$4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report'!$O$5:$O$33</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 report'!$P$5:$P$33</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1-1008-4122-AA23-D5FB1D8D038A}"/>
            </c:ext>
          </c:extLst>
        </c:ser>
        <c:dLbls>
          <c:showLegendKey val="0"/>
          <c:showVal val="0"/>
          <c:showCatName val="0"/>
          <c:showSerName val="0"/>
          <c:showPercent val="0"/>
          <c:showBubbleSize val="0"/>
        </c:dLbls>
        <c:axId val="1387824863"/>
        <c:axId val="1387825343"/>
      </c:areaChart>
      <c:catAx>
        <c:axId val="138782486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7825343"/>
        <c:crosses val="autoZero"/>
        <c:auto val="1"/>
        <c:lblAlgn val="ctr"/>
        <c:lblOffset val="100"/>
        <c:noMultiLvlLbl val="0"/>
      </c:catAx>
      <c:valAx>
        <c:axId val="1387825343"/>
        <c:scaling>
          <c:orientation val="minMax"/>
        </c:scaling>
        <c:delete val="1"/>
        <c:axPos val="l"/>
        <c:numFmt formatCode="0.00" sourceLinked="1"/>
        <c:majorTickMark val="none"/>
        <c:minorTickMark val="none"/>
        <c:tickLblPos val="nextTo"/>
        <c:crossAx val="13878248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Average PS score'!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T of Pateint'!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2.svg"/></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879227</xdr:colOff>
      <xdr:row>53</xdr:row>
      <xdr:rowOff>147483</xdr:rowOff>
    </xdr:from>
    <xdr:to>
      <xdr:col>3</xdr:col>
      <xdr:colOff>1087694</xdr:colOff>
      <xdr:row>56</xdr:row>
      <xdr:rowOff>20311</xdr:rowOff>
    </xdr:to>
    <xdr:graphicFrame macro="">
      <xdr:nvGraphicFramePr>
        <xdr:cNvPr id="3" name="Chart 2">
          <a:extLst>
            <a:ext uri="{FF2B5EF4-FFF2-40B4-BE49-F238E27FC236}">
              <a16:creationId xmlns:a16="http://schemas.microsoft.com/office/drawing/2014/main" id="{408FB025-A8B8-7B0D-0544-C463A08785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65999</xdr:colOff>
      <xdr:row>0</xdr:row>
      <xdr:rowOff>14078</xdr:rowOff>
    </xdr:from>
    <xdr:to>
      <xdr:col>4</xdr:col>
      <xdr:colOff>598966</xdr:colOff>
      <xdr:row>3</xdr:row>
      <xdr:rowOff>4324</xdr:rowOff>
    </xdr:to>
    <xdr:sp macro="" textlink="">
      <xdr:nvSpPr>
        <xdr:cNvPr id="2" name="Rectangle: Rounded Corners 1">
          <a:extLst>
            <a:ext uri="{FF2B5EF4-FFF2-40B4-BE49-F238E27FC236}">
              <a16:creationId xmlns:a16="http://schemas.microsoft.com/office/drawing/2014/main" id="{72C18AC0-2393-B738-C423-705D045B384C}"/>
            </a:ext>
          </a:extLst>
        </xdr:cNvPr>
        <xdr:cNvSpPr/>
      </xdr:nvSpPr>
      <xdr:spPr>
        <a:xfrm>
          <a:off x="65999" y="14078"/>
          <a:ext cx="2971367" cy="53057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5</xdr:col>
      <xdr:colOff>28257</xdr:colOff>
      <xdr:row>0</xdr:row>
      <xdr:rowOff>7087</xdr:rowOff>
    </xdr:from>
    <xdr:to>
      <xdr:col>6</xdr:col>
      <xdr:colOff>574159</xdr:colOff>
      <xdr:row>3</xdr:row>
      <xdr:rowOff>3543</xdr:rowOff>
    </xdr:to>
    <xdr:sp macro="" textlink="">
      <xdr:nvSpPr>
        <xdr:cNvPr id="4" name="Rectangle: Rounded Corners 3">
          <a:extLst>
            <a:ext uri="{FF2B5EF4-FFF2-40B4-BE49-F238E27FC236}">
              <a16:creationId xmlns:a16="http://schemas.microsoft.com/office/drawing/2014/main" id="{EFA20B97-B373-767E-8430-9B9C7F201216}"/>
            </a:ext>
          </a:extLst>
        </xdr:cNvPr>
        <xdr:cNvSpPr/>
      </xdr:nvSpPr>
      <xdr:spPr>
        <a:xfrm>
          <a:off x="3076257" y="7087"/>
          <a:ext cx="1155502" cy="54934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7</xdr:col>
      <xdr:colOff>1718</xdr:colOff>
      <xdr:row>0</xdr:row>
      <xdr:rowOff>0</xdr:rowOff>
    </xdr:from>
    <xdr:to>
      <xdr:col>8</xdr:col>
      <xdr:colOff>574158</xdr:colOff>
      <xdr:row>5</xdr:row>
      <xdr:rowOff>177211</xdr:rowOff>
    </xdr:to>
    <xdr:sp macro="" textlink="">
      <xdr:nvSpPr>
        <xdr:cNvPr id="5" name="Rectangle: Rounded Corners 4">
          <a:extLst>
            <a:ext uri="{FF2B5EF4-FFF2-40B4-BE49-F238E27FC236}">
              <a16:creationId xmlns:a16="http://schemas.microsoft.com/office/drawing/2014/main" id="{35F0C0CB-B38C-DB70-1E41-E903FBC5F0CD}"/>
            </a:ext>
          </a:extLst>
        </xdr:cNvPr>
        <xdr:cNvSpPr/>
      </xdr:nvSpPr>
      <xdr:spPr>
        <a:xfrm>
          <a:off x="4268918" y="0"/>
          <a:ext cx="1182040" cy="108208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9</xdr:col>
      <xdr:colOff>3069</xdr:colOff>
      <xdr:row>0</xdr:row>
      <xdr:rowOff>14378</xdr:rowOff>
    </xdr:from>
    <xdr:to>
      <xdr:col>10</xdr:col>
      <xdr:colOff>576365</xdr:colOff>
      <xdr:row>6</xdr:row>
      <xdr:rowOff>9476</xdr:rowOff>
    </xdr:to>
    <xdr:sp macro="" textlink="">
      <xdr:nvSpPr>
        <xdr:cNvPr id="6" name="Rectangle: Rounded Corners 5">
          <a:extLst>
            <a:ext uri="{FF2B5EF4-FFF2-40B4-BE49-F238E27FC236}">
              <a16:creationId xmlns:a16="http://schemas.microsoft.com/office/drawing/2014/main" id="{C920CF20-FB61-24E2-C4D9-0CEE784C9F1E}"/>
            </a:ext>
          </a:extLst>
        </xdr:cNvPr>
        <xdr:cNvSpPr/>
      </xdr:nvSpPr>
      <xdr:spPr>
        <a:xfrm>
          <a:off x="5482906" y="14378"/>
          <a:ext cx="1182167" cy="108887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63500</xdr:colOff>
      <xdr:row>3</xdr:row>
      <xdr:rowOff>54428</xdr:rowOff>
    </xdr:from>
    <xdr:to>
      <xdr:col>1</xdr:col>
      <xdr:colOff>244928</xdr:colOff>
      <xdr:row>15</xdr:row>
      <xdr:rowOff>81642</xdr:rowOff>
    </xdr:to>
    <xdr:sp macro="" textlink="">
      <xdr:nvSpPr>
        <xdr:cNvPr id="3" name="Rectangle: Rounded Corners 2">
          <a:extLst>
            <a:ext uri="{FF2B5EF4-FFF2-40B4-BE49-F238E27FC236}">
              <a16:creationId xmlns:a16="http://schemas.microsoft.com/office/drawing/2014/main" id="{FFF81202-02E7-A564-6214-95C900635139}"/>
            </a:ext>
          </a:extLst>
        </xdr:cNvPr>
        <xdr:cNvSpPr/>
      </xdr:nvSpPr>
      <xdr:spPr>
        <a:xfrm>
          <a:off x="63500" y="594755"/>
          <a:ext cx="791028" cy="2188523"/>
        </a:xfrm>
        <a:prstGeom prst="roundRect">
          <a:avLst>
            <a:gd name="adj" fmla="val 703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301075</xdr:colOff>
      <xdr:row>3</xdr:row>
      <xdr:rowOff>72571</xdr:rowOff>
    </xdr:from>
    <xdr:to>
      <xdr:col>3</xdr:col>
      <xdr:colOff>134103</xdr:colOff>
      <xdr:row>6</xdr:row>
      <xdr:rowOff>136072</xdr:rowOff>
    </xdr:to>
    <xdr:sp macro="" textlink="">
      <xdr:nvSpPr>
        <xdr:cNvPr id="9" name="Rectangle: Rounded Corners 8">
          <a:extLst>
            <a:ext uri="{FF2B5EF4-FFF2-40B4-BE49-F238E27FC236}">
              <a16:creationId xmlns:a16="http://schemas.microsoft.com/office/drawing/2014/main" id="{5052865D-2855-0B59-C568-D720C1E69F11}"/>
            </a:ext>
          </a:extLst>
        </xdr:cNvPr>
        <xdr:cNvSpPr/>
      </xdr:nvSpPr>
      <xdr:spPr>
        <a:xfrm>
          <a:off x="910675" y="612898"/>
          <a:ext cx="1052228" cy="603829"/>
        </a:xfrm>
        <a:prstGeom prst="roundRect">
          <a:avLst>
            <a:gd name="adj" fmla="val 10931"/>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3</xdr:col>
      <xdr:colOff>205572</xdr:colOff>
      <xdr:row>3</xdr:row>
      <xdr:rowOff>72571</xdr:rowOff>
    </xdr:from>
    <xdr:to>
      <xdr:col>5</xdr:col>
      <xdr:colOff>38599</xdr:colOff>
      <xdr:row>6</xdr:row>
      <xdr:rowOff>136072</xdr:rowOff>
    </xdr:to>
    <xdr:sp macro="" textlink="">
      <xdr:nvSpPr>
        <xdr:cNvPr id="10" name="Rectangle: Rounded Corners 9">
          <a:extLst>
            <a:ext uri="{FF2B5EF4-FFF2-40B4-BE49-F238E27FC236}">
              <a16:creationId xmlns:a16="http://schemas.microsoft.com/office/drawing/2014/main" id="{F4EA5C18-06B9-F733-2D96-70EC67CCCA84}"/>
            </a:ext>
          </a:extLst>
        </xdr:cNvPr>
        <xdr:cNvSpPr/>
      </xdr:nvSpPr>
      <xdr:spPr>
        <a:xfrm>
          <a:off x="2034372" y="612898"/>
          <a:ext cx="1052227" cy="603829"/>
        </a:xfrm>
        <a:prstGeom prst="roundRect">
          <a:avLst>
            <a:gd name="adj" fmla="val 10931"/>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5</xdr:col>
      <xdr:colOff>121615</xdr:colOff>
      <xdr:row>3</xdr:row>
      <xdr:rowOff>72571</xdr:rowOff>
    </xdr:from>
    <xdr:to>
      <xdr:col>6</xdr:col>
      <xdr:colOff>562429</xdr:colOff>
      <xdr:row>6</xdr:row>
      <xdr:rowOff>136072</xdr:rowOff>
    </xdr:to>
    <xdr:sp macro="" textlink="">
      <xdr:nvSpPr>
        <xdr:cNvPr id="11" name="Rectangle: Rounded Corners 10">
          <a:extLst>
            <a:ext uri="{FF2B5EF4-FFF2-40B4-BE49-F238E27FC236}">
              <a16:creationId xmlns:a16="http://schemas.microsoft.com/office/drawing/2014/main" id="{584BC039-D7D1-AB64-8ADA-4F4E4FD550D9}"/>
            </a:ext>
          </a:extLst>
        </xdr:cNvPr>
        <xdr:cNvSpPr/>
      </xdr:nvSpPr>
      <xdr:spPr>
        <a:xfrm>
          <a:off x="3169615" y="612898"/>
          <a:ext cx="1050414" cy="603829"/>
        </a:xfrm>
        <a:prstGeom prst="roundRect">
          <a:avLst>
            <a:gd name="adj" fmla="val 12078"/>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318964</xdr:colOff>
      <xdr:row>10</xdr:row>
      <xdr:rowOff>54427</xdr:rowOff>
    </xdr:from>
    <xdr:to>
      <xdr:col>6</xdr:col>
      <xdr:colOff>589643</xdr:colOff>
      <xdr:row>15</xdr:row>
      <xdr:rowOff>63499</xdr:rowOff>
    </xdr:to>
    <xdr:sp macro="" textlink="">
      <xdr:nvSpPr>
        <xdr:cNvPr id="7" name="Rectangle: Rounded Corners 6">
          <a:extLst>
            <a:ext uri="{FF2B5EF4-FFF2-40B4-BE49-F238E27FC236}">
              <a16:creationId xmlns:a16="http://schemas.microsoft.com/office/drawing/2014/main" id="{8FA6F438-19A7-C8BE-EF2C-36D3E1F11B81}"/>
            </a:ext>
          </a:extLst>
        </xdr:cNvPr>
        <xdr:cNvSpPr/>
      </xdr:nvSpPr>
      <xdr:spPr>
        <a:xfrm>
          <a:off x="932067" y="1893737"/>
          <a:ext cx="3336197" cy="92872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318964</xdr:colOff>
      <xdr:row>7</xdr:row>
      <xdr:rowOff>9071</xdr:rowOff>
    </xdr:from>
    <xdr:to>
      <xdr:col>6</xdr:col>
      <xdr:colOff>589643</xdr:colOff>
      <xdr:row>9</xdr:row>
      <xdr:rowOff>172357</xdr:rowOff>
    </xdr:to>
    <xdr:sp macro="" textlink="">
      <xdr:nvSpPr>
        <xdr:cNvPr id="8" name="Rectangle: Rounded Corners 7">
          <a:extLst>
            <a:ext uri="{FF2B5EF4-FFF2-40B4-BE49-F238E27FC236}">
              <a16:creationId xmlns:a16="http://schemas.microsoft.com/office/drawing/2014/main" id="{F49F4507-E660-A4D9-6D62-BCFD34E297E5}"/>
            </a:ext>
          </a:extLst>
        </xdr:cNvPr>
        <xdr:cNvSpPr/>
      </xdr:nvSpPr>
      <xdr:spPr>
        <a:xfrm>
          <a:off x="932067" y="1296588"/>
          <a:ext cx="3336197" cy="531148"/>
        </a:xfrm>
        <a:prstGeom prst="roundRect">
          <a:avLst>
            <a:gd name="adj" fmla="val 6773"/>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7</xdr:col>
      <xdr:colOff>27215</xdr:colOff>
      <xdr:row>6</xdr:row>
      <xdr:rowOff>54428</xdr:rowOff>
    </xdr:from>
    <xdr:to>
      <xdr:col>10</xdr:col>
      <xdr:colOff>598716</xdr:colOff>
      <xdr:row>15</xdr:row>
      <xdr:rowOff>63499</xdr:rowOff>
    </xdr:to>
    <xdr:sp macro="" textlink="">
      <xdr:nvSpPr>
        <xdr:cNvPr id="18" name="Rectangle: Rounded Corners 17">
          <a:extLst>
            <a:ext uri="{FF2B5EF4-FFF2-40B4-BE49-F238E27FC236}">
              <a16:creationId xmlns:a16="http://schemas.microsoft.com/office/drawing/2014/main" id="{32F13041-BEB3-EC91-84F4-4956A46C79D4}"/>
            </a:ext>
          </a:extLst>
        </xdr:cNvPr>
        <xdr:cNvSpPr/>
      </xdr:nvSpPr>
      <xdr:spPr>
        <a:xfrm>
          <a:off x="4306820" y="1170847"/>
          <a:ext cx="2405617" cy="1683699"/>
        </a:xfrm>
        <a:prstGeom prst="roundRect">
          <a:avLst>
            <a:gd name="adj" fmla="val 403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547523</xdr:colOff>
      <xdr:row>0</xdr:row>
      <xdr:rowOff>109663</xdr:rowOff>
    </xdr:from>
    <xdr:to>
      <xdr:col>4</xdr:col>
      <xdr:colOff>198000</xdr:colOff>
      <xdr:row>1</xdr:row>
      <xdr:rowOff>136092</xdr:rowOff>
    </xdr:to>
    <xdr:sp macro="" textlink="">
      <xdr:nvSpPr>
        <xdr:cNvPr id="23" name="TextBox 22">
          <a:extLst>
            <a:ext uri="{FF2B5EF4-FFF2-40B4-BE49-F238E27FC236}">
              <a16:creationId xmlns:a16="http://schemas.microsoft.com/office/drawing/2014/main" id="{4BC47469-53E4-2376-5DBC-F4C4F466C037}"/>
            </a:ext>
          </a:extLst>
        </xdr:cNvPr>
        <xdr:cNvSpPr txBox="1"/>
      </xdr:nvSpPr>
      <xdr:spPr>
        <a:xfrm>
          <a:off x="547523" y="109663"/>
          <a:ext cx="2098477" cy="20642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b="1"/>
            <a:t>Hospital</a:t>
          </a:r>
          <a:r>
            <a:rPr lang="en-IN" sz="1000" b="1" baseline="0"/>
            <a:t> Emergency Room Dashboard</a:t>
          </a:r>
          <a:endParaRPr lang="en-IN" sz="1000" b="1"/>
        </a:p>
      </xdr:txBody>
    </xdr:sp>
    <xdr:clientData/>
  </xdr:twoCellAnchor>
  <xdr:twoCellAnchor editAs="oneCell">
    <xdr:from>
      <xdr:col>0</xdr:col>
      <xdr:colOff>102000</xdr:colOff>
      <xdr:row>0</xdr:row>
      <xdr:rowOff>42000</xdr:rowOff>
    </xdr:from>
    <xdr:to>
      <xdr:col>0</xdr:col>
      <xdr:colOff>564000</xdr:colOff>
      <xdr:row>2</xdr:row>
      <xdr:rowOff>144000</xdr:rowOff>
    </xdr:to>
    <xdr:pic>
      <xdr:nvPicPr>
        <xdr:cNvPr id="25" name="Picture 24">
          <a:extLst>
            <a:ext uri="{FF2B5EF4-FFF2-40B4-BE49-F238E27FC236}">
              <a16:creationId xmlns:a16="http://schemas.microsoft.com/office/drawing/2014/main" id="{9D9A2922-76CB-E544-7407-6F94AC7DDF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000" y="42000"/>
          <a:ext cx="462000" cy="462000"/>
        </a:xfrm>
        <a:prstGeom prst="rect">
          <a:avLst/>
        </a:prstGeom>
      </xdr:spPr>
    </xdr:pic>
    <xdr:clientData/>
  </xdr:twoCellAnchor>
  <xdr:twoCellAnchor>
    <xdr:from>
      <xdr:col>1</xdr:col>
      <xdr:colOff>564000</xdr:colOff>
      <xdr:row>1</xdr:row>
      <xdr:rowOff>110078</xdr:rowOff>
    </xdr:from>
    <xdr:to>
      <xdr:col>3</xdr:col>
      <xdr:colOff>258000</xdr:colOff>
      <xdr:row>2</xdr:row>
      <xdr:rowOff>83999</xdr:rowOff>
    </xdr:to>
    <xdr:sp macro="" textlink="">
      <xdr:nvSpPr>
        <xdr:cNvPr id="26" name="TextBox 25">
          <a:extLst>
            <a:ext uri="{FF2B5EF4-FFF2-40B4-BE49-F238E27FC236}">
              <a16:creationId xmlns:a16="http://schemas.microsoft.com/office/drawing/2014/main" id="{ABDE7633-CC6C-4271-8A39-77EE0214BAFB}"/>
            </a:ext>
          </a:extLst>
        </xdr:cNvPr>
        <xdr:cNvSpPr txBox="1"/>
      </xdr:nvSpPr>
      <xdr:spPr>
        <a:xfrm>
          <a:off x="1176000" y="290078"/>
          <a:ext cx="918000" cy="15392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0"/>
            <a:t>Monthly</a:t>
          </a:r>
          <a:r>
            <a:rPr lang="en-IN" sz="800" b="0" baseline="0"/>
            <a:t> Report</a:t>
          </a:r>
          <a:endParaRPr lang="en-IN" sz="800" b="0"/>
        </a:p>
      </xdr:txBody>
    </xdr:sp>
    <xdr:clientData/>
  </xdr:twoCellAnchor>
  <xdr:twoCellAnchor>
    <xdr:from>
      <xdr:col>1</xdr:col>
      <xdr:colOff>306000</xdr:colOff>
      <xdr:row>4</xdr:row>
      <xdr:rowOff>160857</xdr:rowOff>
    </xdr:from>
    <xdr:to>
      <xdr:col>3</xdr:col>
      <xdr:colOff>137999</xdr:colOff>
      <xdr:row>5</xdr:row>
      <xdr:rowOff>162000</xdr:rowOff>
    </xdr:to>
    <xdr:sp macro="" textlink="">
      <xdr:nvSpPr>
        <xdr:cNvPr id="28" name="TextBox 27">
          <a:extLst>
            <a:ext uri="{FF2B5EF4-FFF2-40B4-BE49-F238E27FC236}">
              <a16:creationId xmlns:a16="http://schemas.microsoft.com/office/drawing/2014/main" id="{8BA70A8E-CAAF-4297-AD1D-D45088404404}"/>
            </a:ext>
          </a:extLst>
        </xdr:cNvPr>
        <xdr:cNvSpPr txBox="1"/>
      </xdr:nvSpPr>
      <xdr:spPr>
        <a:xfrm>
          <a:off x="918000" y="880857"/>
          <a:ext cx="1055999" cy="18114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b="0"/>
            <a:t>No. of Patient</a:t>
          </a:r>
        </a:p>
      </xdr:txBody>
    </xdr:sp>
    <xdr:clientData/>
  </xdr:twoCellAnchor>
  <xdr:twoCellAnchor>
    <xdr:from>
      <xdr:col>1</xdr:col>
      <xdr:colOff>306000</xdr:colOff>
      <xdr:row>4</xdr:row>
      <xdr:rowOff>4857</xdr:rowOff>
    </xdr:from>
    <xdr:to>
      <xdr:col>3</xdr:col>
      <xdr:colOff>137999</xdr:colOff>
      <xdr:row>5</xdr:row>
      <xdr:rowOff>6000</xdr:rowOff>
    </xdr:to>
    <xdr:sp macro="" textlink="'Pivot report'!A5">
      <xdr:nvSpPr>
        <xdr:cNvPr id="30" name="TextBox 29">
          <a:extLst>
            <a:ext uri="{FF2B5EF4-FFF2-40B4-BE49-F238E27FC236}">
              <a16:creationId xmlns:a16="http://schemas.microsoft.com/office/drawing/2014/main" id="{279FFB82-E96A-925A-2FC8-BD9BB047A6A9}"/>
            </a:ext>
          </a:extLst>
        </xdr:cNvPr>
        <xdr:cNvSpPr txBox="1"/>
      </xdr:nvSpPr>
      <xdr:spPr>
        <a:xfrm>
          <a:off x="918000" y="724857"/>
          <a:ext cx="1055999" cy="18114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A98C0CA-0C96-4A84-9F2E-4DC2BD25EF39}" type="TxLink">
            <a:rPr lang="en-US" sz="1100" b="0" i="0" u="none" strike="noStrike">
              <a:solidFill>
                <a:srgbClr val="000000"/>
              </a:solidFill>
              <a:latin typeface="Calibri"/>
              <a:ea typeface="Calibri"/>
              <a:cs typeface="Calibri"/>
            </a:rPr>
            <a:pPr algn="ctr"/>
            <a:t>431</a:t>
          </a:fld>
          <a:endParaRPr lang="en-IN" sz="800" b="0"/>
        </a:p>
      </xdr:txBody>
    </xdr:sp>
    <xdr:clientData/>
  </xdr:twoCellAnchor>
  <xdr:twoCellAnchor>
    <xdr:from>
      <xdr:col>3</xdr:col>
      <xdr:colOff>213783</xdr:colOff>
      <xdr:row>4</xdr:row>
      <xdr:rowOff>160857</xdr:rowOff>
    </xdr:from>
    <xdr:to>
      <xdr:col>5</xdr:col>
      <xdr:colOff>45782</xdr:colOff>
      <xdr:row>5</xdr:row>
      <xdr:rowOff>162000</xdr:rowOff>
    </xdr:to>
    <xdr:sp macro="" textlink="">
      <xdr:nvSpPr>
        <xdr:cNvPr id="12" name="TextBox 11">
          <a:extLst>
            <a:ext uri="{FF2B5EF4-FFF2-40B4-BE49-F238E27FC236}">
              <a16:creationId xmlns:a16="http://schemas.microsoft.com/office/drawing/2014/main" id="{04A9DF3B-B507-9F9F-C397-2FCB9B1076A5}"/>
            </a:ext>
          </a:extLst>
        </xdr:cNvPr>
        <xdr:cNvSpPr txBox="1"/>
      </xdr:nvSpPr>
      <xdr:spPr>
        <a:xfrm>
          <a:off x="2042583" y="881293"/>
          <a:ext cx="1051199" cy="18125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b="0"/>
            <a:t>Average Wait Time</a:t>
          </a:r>
        </a:p>
      </xdr:txBody>
    </xdr:sp>
    <xdr:clientData/>
  </xdr:twoCellAnchor>
  <xdr:twoCellAnchor>
    <xdr:from>
      <xdr:col>3</xdr:col>
      <xdr:colOff>213783</xdr:colOff>
      <xdr:row>4</xdr:row>
      <xdr:rowOff>4857</xdr:rowOff>
    </xdr:from>
    <xdr:to>
      <xdr:col>5</xdr:col>
      <xdr:colOff>45782</xdr:colOff>
      <xdr:row>5</xdr:row>
      <xdr:rowOff>6000</xdr:rowOff>
    </xdr:to>
    <xdr:sp macro="" textlink="'Pivot report'!A9">
      <xdr:nvSpPr>
        <xdr:cNvPr id="13" name="TextBox 12">
          <a:extLst>
            <a:ext uri="{FF2B5EF4-FFF2-40B4-BE49-F238E27FC236}">
              <a16:creationId xmlns:a16="http://schemas.microsoft.com/office/drawing/2014/main" id="{8DD3A84F-6B79-7E9E-B391-66E6FA9215CA}"/>
            </a:ext>
          </a:extLst>
        </xdr:cNvPr>
        <xdr:cNvSpPr txBox="1"/>
      </xdr:nvSpPr>
      <xdr:spPr>
        <a:xfrm>
          <a:off x="2042583" y="725293"/>
          <a:ext cx="1051199" cy="18125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C14BE78-AEE0-4B8D-B5D0-A3D39268E54D}" type="TxLink">
            <a:rPr lang="en-US" sz="1100" b="0" i="0" u="none" strike="noStrike">
              <a:solidFill>
                <a:srgbClr val="000000"/>
              </a:solidFill>
              <a:latin typeface="Calibri"/>
              <a:ea typeface="Calibri"/>
              <a:cs typeface="Calibri"/>
            </a:rPr>
            <a:pPr algn="ctr"/>
            <a:t>36.67</a:t>
          </a:fld>
          <a:endParaRPr lang="en-IN" sz="800" b="0"/>
        </a:p>
      </xdr:txBody>
    </xdr:sp>
    <xdr:clientData/>
  </xdr:twoCellAnchor>
  <xdr:twoCellAnchor>
    <xdr:from>
      <xdr:col>5</xdr:col>
      <xdr:colOff>121567</xdr:colOff>
      <xdr:row>4</xdr:row>
      <xdr:rowOff>160857</xdr:rowOff>
    </xdr:from>
    <xdr:to>
      <xdr:col>6</xdr:col>
      <xdr:colOff>565108</xdr:colOff>
      <xdr:row>5</xdr:row>
      <xdr:rowOff>165019</xdr:rowOff>
    </xdr:to>
    <xdr:sp macro="" textlink="">
      <xdr:nvSpPr>
        <xdr:cNvPr id="16" name="TextBox 15">
          <a:extLst>
            <a:ext uri="{FF2B5EF4-FFF2-40B4-BE49-F238E27FC236}">
              <a16:creationId xmlns:a16="http://schemas.microsoft.com/office/drawing/2014/main" id="{52E8595C-A3FD-F49F-BCFB-627343456948}"/>
            </a:ext>
          </a:extLst>
        </xdr:cNvPr>
        <xdr:cNvSpPr txBox="1"/>
      </xdr:nvSpPr>
      <xdr:spPr>
        <a:xfrm>
          <a:off x="3179274" y="898589"/>
          <a:ext cx="1055082" cy="18859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b="0"/>
            <a:t>Patient</a:t>
          </a:r>
          <a:r>
            <a:rPr lang="en-IN" sz="700" b="0" baseline="0"/>
            <a:t> </a:t>
          </a:r>
          <a:r>
            <a:rPr lang="en-IN" sz="700" b="0"/>
            <a:t>Satisfaction Score</a:t>
          </a:r>
        </a:p>
      </xdr:txBody>
    </xdr:sp>
    <xdr:clientData/>
  </xdr:twoCellAnchor>
  <xdr:twoCellAnchor>
    <xdr:from>
      <xdr:col>5</xdr:col>
      <xdr:colOff>100785</xdr:colOff>
      <xdr:row>3</xdr:row>
      <xdr:rowOff>150330</xdr:rowOff>
    </xdr:from>
    <xdr:to>
      <xdr:col>6</xdr:col>
      <xdr:colOff>544326</xdr:colOff>
      <xdr:row>4</xdr:row>
      <xdr:rowOff>151473</xdr:rowOff>
    </xdr:to>
    <xdr:sp macro="" textlink="'Pivot report'!A13">
      <xdr:nvSpPr>
        <xdr:cNvPr id="17" name="TextBox 16">
          <a:extLst>
            <a:ext uri="{FF2B5EF4-FFF2-40B4-BE49-F238E27FC236}">
              <a16:creationId xmlns:a16="http://schemas.microsoft.com/office/drawing/2014/main" id="{EF13F66F-FC95-62B2-F167-A09672BB2A1C}"/>
            </a:ext>
          </a:extLst>
        </xdr:cNvPr>
        <xdr:cNvSpPr txBox="1"/>
      </xdr:nvSpPr>
      <xdr:spPr>
        <a:xfrm>
          <a:off x="3148785" y="690657"/>
          <a:ext cx="1053141" cy="18125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7181190D-1B5A-45AB-A233-F269BD4E0CCB}" type="TxLink">
            <a:rPr lang="en-US" sz="1100" b="0" i="0" u="none" strike="noStrike">
              <a:solidFill>
                <a:srgbClr val="000000"/>
              </a:solidFill>
              <a:latin typeface="Calibri"/>
              <a:ea typeface="Calibri"/>
              <a:cs typeface="Calibri"/>
            </a:rPr>
            <a:pPr algn="ctr"/>
            <a:t>4.72</a:t>
          </a:fld>
          <a:endParaRPr lang="en-IN" sz="800" b="0"/>
        </a:p>
      </xdr:txBody>
    </xdr:sp>
    <xdr:clientData/>
  </xdr:twoCellAnchor>
  <xdr:twoCellAnchor editAs="oneCell">
    <xdr:from>
      <xdr:col>2</xdr:col>
      <xdr:colOff>464126</xdr:colOff>
      <xdr:row>3</xdr:row>
      <xdr:rowOff>96982</xdr:rowOff>
    </xdr:from>
    <xdr:to>
      <xdr:col>3</xdr:col>
      <xdr:colOff>94085</xdr:colOff>
      <xdr:row>4</xdr:row>
      <xdr:rowOff>152400</xdr:rowOff>
    </xdr:to>
    <xdr:pic>
      <xdr:nvPicPr>
        <xdr:cNvPr id="20" name="Graphic 19" descr="Male profile with solid fill">
          <a:extLst>
            <a:ext uri="{FF2B5EF4-FFF2-40B4-BE49-F238E27FC236}">
              <a16:creationId xmlns:a16="http://schemas.microsoft.com/office/drawing/2014/main" id="{62326039-E192-C354-9C7B-AE074FF38FA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83326" y="637309"/>
          <a:ext cx="239559" cy="235527"/>
        </a:xfrm>
        <a:prstGeom prst="rect">
          <a:avLst/>
        </a:prstGeom>
      </xdr:spPr>
    </xdr:pic>
    <xdr:clientData/>
  </xdr:twoCellAnchor>
  <xdr:twoCellAnchor editAs="oneCell">
    <xdr:from>
      <xdr:col>6</xdr:col>
      <xdr:colOff>228601</xdr:colOff>
      <xdr:row>3</xdr:row>
      <xdr:rowOff>83129</xdr:rowOff>
    </xdr:from>
    <xdr:to>
      <xdr:col>6</xdr:col>
      <xdr:colOff>477982</xdr:colOff>
      <xdr:row>4</xdr:row>
      <xdr:rowOff>152401</xdr:rowOff>
    </xdr:to>
    <xdr:pic>
      <xdr:nvPicPr>
        <xdr:cNvPr id="31" name="Graphic 30" descr="Customer review with solid fill">
          <a:extLst>
            <a:ext uri="{FF2B5EF4-FFF2-40B4-BE49-F238E27FC236}">
              <a16:creationId xmlns:a16="http://schemas.microsoft.com/office/drawing/2014/main" id="{E303E7CB-5D69-5671-EEE3-699422DD46B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886201" y="623456"/>
          <a:ext cx="249381" cy="249381"/>
        </a:xfrm>
        <a:prstGeom prst="rect">
          <a:avLst/>
        </a:prstGeom>
      </xdr:spPr>
    </xdr:pic>
    <xdr:clientData/>
  </xdr:twoCellAnchor>
  <xdr:twoCellAnchor editAs="oneCell">
    <xdr:from>
      <xdr:col>4</xdr:col>
      <xdr:colOff>353291</xdr:colOff>
      <xdr:row>3</xdr:row>
      <xdr:rowOff>83128</xdr:rowOff>
    </xdr:from>
    <xdr:to>
      <xdr:col>5</xdr:col>
      <xdr:colOff>0</xdr:colOff>
      <xdr:row>4</xdr:row>
      <xdr:rowOff>159328</xdr:rowOff>
    </xdr:to>
    <xdr:pic>
      <xdr:nvPicPr>
        <xdr:cNvPr id="33" name="Graphic 32" descr="Clock with solid fill">
          <a:extLst>
            <a:ext uri="{FF2B5EF4-FFF2-40B4-BE49-F238E27FC236}">
              <a16:creationId xmlns:a16="http://schemas.microsoft.com/office/drawing/2014/main" id="{11CFCCDC-7AA2-7D7E-2370-9FD522F8209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791691" y="623455"/>
          <a:ext cx="256309" cy="256309"/>
        </a:xfrm>
        <a:prstGeom prst="rect">
          <a:avLst/>
        </a:prstGeom>
      </xdr:spPr>
    </xdr:pic>
    <xdr:clientData/>
  </xdr:twoCellAnchor>
  <xdr:twoCellAnchor editAs="oneCell">
    <xdr:from>
      <xdr:col>0</xdr:col>
      <xdr:colOff>96982</xdr:colOff>
      <xdr:row>3</xdr:row>
      <xdr:rowOff>76201</xdr:rowOff>
    </xdr:from>
    <xdr:to>
      <xdr:col>1</xdr:col>
      <xdr:colOff>214745</xdr:colOff>
      <xdr:row>15</xdr:row>
      <xdr:rowOff>62346</xdr:rowOff>
    </xdr:to>
    <mc:AlternateContent xmlns:mc="http://schemas.openxmlformats.org/markup-compatibility/2006" xmlns:a14="http://schemas.microsoft.com/office/drawing/2010/main">
      <mc:Choice Requires="a14">
        <xdr:graphicFrame macro="">
          <xdr:nvGraphicFramePr>
            <xdr:cNvPr id="14" name="Date (Month)">
              <a:extLst>
                <a:ext uri="{FF2B5EF4-FFF2-40B4-BE49-F238E27FC236}">
                  <a16:creationId xmlns:a16="http://schemas.microsoft.com/office/drawing/2014/main" id="{6B2D202E-40D7-4640-ABED-73D64FD53DD6}"/>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96982" y="616528"/>
              <a:ext cx="727363" cy="21474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304221</xdr:colOff>
      <xdr:row>5</xdr:row>
      <xdr:rowOff>26076</xdr:rowOff>
    </xdr:from>
    <xdr:to>
      <xdr:col>3</xdr:col>
      <xdr:colOff>124587</xdr:colOff>
      <xdr:row>6</xdr:row>
      <xdr:rowOff>144868</xdr:rowOff>
    </xdr:to>
    <xdr:graphicFrame macro="">
      <xdr:nvGraphicFramePr>
        <xdr:cNvPr id="15" name="Chart 14">
          <a:hlinkClick xmlns:r="http://schemas.openxmlformats.org/officeDocument/2006/relationships" r:id="rId8"/>
          <a:extLst>
            <a:ext uri="{FF2B5EF4-FFF2-40B4-BE49-F238E27FC236}">
              <a16:creationId xmlns:a16="http://schemas.microsoft.com/office/drawing/2014/main" id="{8688B879-A88A-4347-B802-6149C3CB7D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206157</xdr:colOff>
      <xdr:row>5</xdr:row>
      <xdr:rowOff>49582</xdr:rowOff>
    </xdr:from>
    <xdr:to>
      <xdr:col>5</xdr:col>
      <xdr:colOff>30036</xdr:colOff>
      <xdr:row>6</xdr:row>
      <xdr:rowOff>149363</xdr:rowOff>
    </xdr:to>
    <xdr:graphicFrame macro="">
      <xdr:nvGraphicFramePr>
        <xdr:cNvPr id="19" name="Chart 18">
          <a:hlinkClick xmlns:r="http://schemas.openxmlformats.org/officeDocument/2006/relationships" r:id="rId10"/>
          <a:extLst>
            <a:ext uri="{FF2B5EF4-FFF2-40B4-BE49-F238E27FC236}">
              <a16:creationId xmlns:a16="http://schemas.microsoft.com/office/drawing/2014/main" id="{5A920494-3141-4F82-90EB-024019748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130256</xdr:colOff>
      <xdr:row>5</xdr:row>
      <xdr:rowOff>26050</xdr:rowOff>
    </xdr:from>
    <xdr:to>
      <xdr:col>6</xdr:col>
      <xdr:colOff>547077</xdr:colOff>
      <xdr:row>6</xdr:row>
      <xdr:rowOff>136768</xdr:rowOff>
    </xdr:to>
    <xdr:graphicFrame macro="">
      <xdr:nvGraphicFramePr>
        <xdr:cNvPr id="21" name="Chart 20">
          <a:hlinkClick xmlns:r="http://schemas.openxmlformats.org/officeDocument/2006/relationships" r:id="rId12"/>
          <a:extLst>
            <a:ext uri="{FF2B5EF4-FFF2-40B4-BE49-F238E27FC236}">
              <a16:creationId xmlns:a16="http://schemas.microsoft.com/office/drawing/2014/main" id="{FDFCF545-98F9-40AD-A8F3-262EDE4582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315311</xdr:colOff>
          <xdr:row>7</xdr:row>
          <xdr:rowOff>17518</xdr:rowOff>
        </xdr:from>
        <xdr:to>
          <xdr:col>6</xdr:col>
          <xdr:colOff>586827</xdr:colOff>
          <xdr:row>10</xdr:row>
          <xdr:rowOff>8760</xdr:rowOff>
        </xdr:to>
        <xdr:pic>
          <xdr:nvPicPr>
            <xdr:cNvPr id="38" name="Picture 37">
              <a:extLst>
                <a:ext uri="{FF2B5EF4-FFF2-40B4-BE49-F238E27FC236}">
                  <a16:creationId xmlns:a16="http://schemas.microsoft.com/office/drawing/2014/main" id="{D9E589EE-A399-6C61-5728-43868E037F62}"/>
                </a:ext>
              </a:extLst>
            </xdr:cNvPr>
            <xdr:cNvPicPr>
              <a:picLocks noChangeAspect="1" noChangeArrowheads="1"/>
              <a:extLst>
                <a:ext uri="{84589F7E-364E-4C9E-8A38-B11213B215E9}">
                  <a14:cameraTool cellRange="'Pivot report'!$A$54:$D$56" spid="_x0000_s2086"/>
                </a:ext>
              </a:extLst>
            </xdr:cNvPicPr>
          </xdr:nvPicPr>
          <xdr:blipFill>
            <a:blip xmlns:r="http://schemas.openxmlformats.org/officeDocument/2006/relationships" r:embed="rId14"/>
            <a:srcRect/>
            <a:stretch>
              <a:fillRect/>
            </a:stretch>
          </xdr:blipFill>
          <xdr:spPr bwMode="auto">
            <a:xfrm>
              <a:off x="928414" y="1305035"/>
              <a:ext cx="3337034" cy="54303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2</xdr:col>
      <xdr:colOff>437930</xdr:colOff>
      <xdr:row>14</xdr:row>
      <xdr:rowOff>26276</xdr:rowOff>
    </xdr:from>
    <xdr:to>
      <xdr:col>6</xdr:col>
      <xdr:colOff>140137</xdr:colOff>
      <xdr:row>15</xdr:row>
      <xdr:rowOff>87585</xdr:rowOff>
    </xdr:to>
    <xdr:sp macro="" textlink="">
      <xdr:nvSpPr>
        <xdr:cNvPr id="40" name="TextBox 39">
          <a:extLst>
            <a:ext uri="{FF2B5EF4-FFF2-40B4-BE49-F238E27FC236}">
              <a16:creationId xmlns:a16="http://schemas.microsoft.com/office/drawing/2014/main" id="{EE5EC48F-E565-BDAE-561C-BC297D52D7B1}"/>
            </a:ext>
          </a:extLst>
        </xdr:cNvPr>
        <xdr:cNvSpPr txBox="1"/>
      </xdr:nvSpPr>
      <xdr:spPr>
        <a:xfrm>
          <a:off x="1664137" y="2601310"/>
          <a:ext cx="2154621" cy="245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No.of Patients by Age Group</a:t>
          </a:r>
        </a:p>
      </xdr:txBody>
    </xdr:sp>
    <xdr:clientData/>
  </xdr:twoCellAnchor>
  <xdr:twoCellAnchor>
    <xdr:from>
      <xdr:col>1</xdr:col>
      <xdr:colOff>324069</xdr:colOff>
      <xdr:row>10</xdr:row>
      <xdr:rowOff>54428</xdr:rowOff>
    </xdr:from>
    <xdr:to>
      <xdr:col>6</xdr:col>
      <xdr:colOff>595586</xdr:colOff>
      <xdr:row>14</xdr:row>
      <xdr:rowOff>113863</xdr:rowOff>
    </xdr:to>
    <xdr:graphicFrame macro="">
      <xdr:nvGraphicFramePr>
        <xdr:cNvPr id="41" name="Chart 40">
          <a:extLst>
            <a:ext uri="{FF2B5EF4-FFF2-40B4-BE49-F238E27FC236}">
              <a16:creationId xmlns:a16="http://schemas.microsoft.com/office/drawing/2014/main" id="{CD416F0F-EED8-4516-95AD-070AF68BA6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xdr:col>
      <xdr:colOff>604344</xdr:colOff>
      <xdr:row>0</xdr:row>
      <xdr:rowOff>8759</xdr:rowOff>
    </xdr:from>
    <xdr:to>
      <xdr:col>8</xdr:col>
      <xdr:colOff>586827</xdr:colOff>
      <xdr:row>5</xdr:row>
      <xdr:rowOff>17517</xdr:rowOff>
    </xdr:to>
    <xdr:graphicFrame macro="">
      <xdr:nvGraphicFramePr>
        <xdr:cNvPr id="42" name="Chart 41">
          <a:extLst>
            <a:ext uri="{FF2B5EF4-FFF2-40B4-BE49-F238E27FC236}">
              <a16:creationId xmlns:a16="http://schemas.microsoft.com/office/drawing/2014/main" id="{258BBF91-8882-4E40-9D44-2DDC5D394C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xdr:col>
      <xdr:colOff>592666</xdr:colOff>
      <xdr:row>4</xdr:row>
      <xdr:rowOff>169818</xdr:rowOff>
    </xdr:from>
    <xdr:to>
      <xdr:col>9</xdr:col>
      <xdr:colOff>5643</xdr:colOff>
      <xdr:row>5</xdr:row>
      <xdr:rowOff>174978</xdr:rowOff>
    </xdr:to>
    <xdr:sp macro="" textlink="">
      <xdr:nvSpPr>
        <xdr:cNvPr id="43" name="TextBox 42">
          <a:extLst>
            <a:ext uri="{FF2B5EF4-FFF2-40B4-BE49-F238E27FC236}">
              <a16:creationId xmlns:a16="http://schemas.microsoft.com/office/drawing/2014/main" id="{ACAD3023-ECF4-DA68-AFDD-42E96BDDDAEB}"/>
            </a:ext>
          </a:extLst>
        </xdr:cNvPr>
        <xdr:cNvSpPr txBox="1"/>
      </xdr:nvSpPr>
      <xdr:spPr>
        <a:xfrm>
          <a:off x="4250266" y="892307"/>
          <a:ext cx="1241777" cy="185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600"/>
            <a:t>Patients attended within time</a:t>
          </a:r>
        </a:p>
      </xdr:txBody>
    </xdr:sp>
    <xdr:clientData/>
  </xdr:twoCellAnchor>
  <xdr:twoCellAnchor>
    <xdr:from>
      <xdr:col>9</xdr:col>
      <xdr:colOff>5645</xdr:colOff>
      <xdr:row>0</xdr:row>
      <xdr:rowOff>16933</xdr:rowOff>
    </xdr:from>
    <xdr:to>
      <xdr:col>10</xdr:col>
      <xdr:colOff>570089</xdr:colOff>
      <xdr:row>6</xdr:row>
      <xdr:rowOff>16933</xdr:rowOff>
    </xdr:to>
    <xdr:graphicFrame macro="">
      <xdr:nvGraphicFramePr>
        <xdr:cNvPr id="44" name="Chart 43">
          <a:extLst>
            <a:ext uri="{FF2B5EF4-FFF2-40B4-BE49-F238E27FC236}">
              <a16:creationId xmlns:a16="http://schemas.microsoft.com/office/drawing/2014/main" id="{01D51793-DC2A-4BB3-9DB9-3194590F15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600461</xdr:colOff>
      <xdr:row>5</xdr:row>
      <xdr:rowOff>25667</xdr:rowOff>
    </xdr:from>
    <xdr:to>
      <xdr:col>11</xdr:col>
      <xdr:colOff>13438</xdr:colOff>
      <xdr:row>6</xdr:row>
      <xdr:rowOff>30827</xdr:rowOff>
    </xdr:to>
    <xdr:sp macro="" textlink="">
      <xdr:nvSpPr>
        <xdr:cNvPr id="45" name="TextBox 44">
          <a:extLst>
            <a:ext uri="{FF2B5EF4-FFF2-40B4-BE49-F238E27FC236}">
              <a16:creationId xmlns:a16="http://schemas.microsoft.com/office/drawing/2014/main" id="{CF994371-2CD2-4953-A16E-F47B8F0D7752}"/>
            </a:ext>
          </a:extLst>
        </xdr:cNvPr>
        <xdr:cNvSpPr txBox="1"/>
      </xdr:nvSpPr>
      <xdr:spPr>
        <a:xfrm>
          <a:off x="5477261" y="928778"/>
          <a:ext cx="1241777" cy="185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600"/>
            <a:t>Gender wise</a:t>
          </a:r>
          <a:r>
            <a:rPr lang="en-IN" sz="600" baseline="0"/>
            <a:t> Analysis</a:t>
          </a:r>
          <a:endParaRPr lang="en-IN" sz="600"/>
        </a:p>
      </xdr:txBody>
    </xdr:sp>
    <xdr:clientData/>
  </xdr:twoCellAnchor>
  <xdr:twoCellAnchor>
    <xdr:from>
      <xdr:col>7</xdr:col>
      <xdr:colOff>17720</xdr:colOff>
      <xdr:row>6</xdr:row>
      <xdr:rowOff>70883</xdr:rowOff>
    </xdr:from>
    <xdr:to>
      <xdr:col>11</xdr:col>
      <xdr:colOff>0</xdr:colOff>
      <xdr:row>14</xdr:row>
      <xdr:rowOff>66261</xdr:rowOff>
    </xdr:to>
    <xdr:graphicFrame macro="">
      <xdr:nvGraphicFramePr>
        <xdr:cNvPr id="47" name="Chart 46">
          <a:extLst>
            <a:ext uri="{FF2B5EF4-FFF2-40B4-BE49-F238E27FC236}">
              <a16:creationId xmlns:a16="http://schemas.microsoft.com/office/drawing/2014/main" id="{E955DC43-3334-4B0C-8B00-A0C3765E64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55218</xdr:colOff>
      <xdr:row>13</xdr:row>
      <xdr:rowOff>176695</xdr:rowOff>
    </xdr:from>
    <xdr:to>
      <xdr:col>10</xdr:col>
      <xdr:colOff>552174</xdr:colOff>
      <xdr:row>15</xdr:row>
      <xdr:rowOff>77304</xdr:rowOff>
    </xdr:to>
    <xdr:sp macro="" textlink="">
      <xdr:nvSpPr>
        <xdr:cNvPr id="48" name="TextBox 47">
          <a:extLst>
            <a:ext uri="{FF2B5EF4-FFF2-40B4-BE49-F238E27FC236}">
              <a16:creationId xmlns:a16="http://schemas.microsoft.com/office/drawing/2014/main" id="{A4F4D1E8-25DD-0C37-7FC9-BB2E35D2C0F9}"/>
            </a:ext>
          </a:extLst>
        </xdr:cNvPr>
        <xdr:cNvSpPr txBox="1"/>
      </xdr:nvSpPr>
      <xdr:spPr>
        <a:xfrm>
          <a:off x="4306957" y="2617304"/>
          <a:ext cx="2319130" cy="27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No. of Patients</a:t>
          </a:r>
          <a:r>
            <a:rPr lang="en-IN" sz="1100" baseline="0"/>
            <a:t> by department referal</a:t>
          </a:r>
          <a:endParaRPr lang="en-IN" sz="1100"/>
        </a:p>
      </xdr:txBody>
    </xdr:sp>
    <xdr:clientData/>
  </xdr:twoCellAnchor>
  <xdr:twoCellAnchor editAs="oneCell">
    <xdr:from>
      <xdr:col>5</xdr:col>
      <xdr:colOff>44825</xdr:colOff>
      <xdr:row>0</xdr:row>
      <xdr:rowOff>86659</xdr:rowOff>
    </xdr:from>
    <xdr:to>
      <xdr:col>6</xdr:col>
      <xdr:colOff>552451</xdr:colOff>
      <xdr:row>2</xdr:row>
      <xdr:rowOff>125506</xdr:rowOff>
    </xdr:to>
    <mc:AlternateContent xmlns:mc="http://schemas.openxmlformats.org/markup-compatibility/2006" xmlns:a14="http://schemas.microsoft.com/office/drawing/2010/main">
      <mc:Choice Requires="a14">
        <xdr:graphicFrame macro="">
          <xdr:nvGraphicFramePr>
            <xdr:cNvPr id="49" name="Date (Year)">
              <a:extLst>
                <a:ext uri="{FF2B5EF4-FFF2-40B4-BE49-F238E27FC236}">
                  <a16:creationId xmlns:a16="http://schemas.microsoft.com/office/drawing/2014/main" id="{42D4CFF8-B5E7-458F-81EC-F1B18BABF2D1}"/>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092824" y="86659"/>
              <a:ext cx="1138517" cy="4083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15711</xdr:colOff>
      <xdr:row>0</xdr:row>
      <xdr:rowOff>0</xdr:rowOff>
    </xdr:from>
    <xdr:to>
      <xdr:col>12</xdr:col>
      <xdr:colOff>9769</xdr:colOff>
      <xdr:row>17</xdr:row>
      <xdr:rowOff>185614</xdr:rowOff>
    </xdr:to>
    <xdr:graphicFrame macro="">
      <xdr:nvGraphicFramePr>
        <xdr:cNvPr id="2" name="Chart 1">
          <a:extLst>
            <a:ext uri="{FF2B5EF4-FFF2-40B4-BE49-F238E27FC236}">
              <a16:creationId xmlns:a16="http://schemas.microsoft.com/office/drawing/2014/main" id="{79DD56D8-76F9-4BE7-9C3A-81E67BFFF5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68384</xdr:colOff>
      <xdr:row>0</xdr:row>
      <xdr:rowOff>78154</xdr:rowOff>
    </xdr:from>
    <xdr:to>
      <xdr:col>0</xdr:col>
      <xdr:colOff>517769</xdr:colOff>
      <xdr:row>2</xdr:row>
      <xdr:rowOff>156308</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2E1B7986-659C-D62F-7BF5-237C37D9F6C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384" y="78154"/>
          <a:ext cx="449385" cy="449385"/>
        </a:xfrm>
        <a:prstGeom prst="rect">
          <a:avLst/>
        </a:prstGeom>
      </xdr:spPr>
    </xdr:pic>
    <xdr:clientData/>
  </xdr:twoCellAnchor>
</xdr:wsDr>
</file>

<file path=xl/drawings/drawing4.xml><?xml version="1.0" encoding="utf-8"?>
<c:userShapes xmlns:c="http://schemas.openxmlformats.org/drawingml/2006/chart">
  <cdr:relSizeAnchor xmlns:cdr="http://schemas.openxmlformats.org/drawingml/2006/chartDrawing">
    <cdr:from>
      <cdr:x>0.10007</cdr:x>
      <cdr:y>0.88884</cdr:y>
    </cdr:from>
    <cdr:to>
      <cdr:x>0.87718</cdr:x>
      <cdr:y>1</cdr:y>
    </cdr:to>
    <cdr:sp macro="" textlink="">
      <cdr:nvSpPr>
        <cdr:cNvPr id="3" name="TextBox 2">
          <a:extLst xmlns:a="http://schemas.openxmlformats.org/drawingml/2006/main">
            <a:ext uri="{FF2B5EF4-FFF2-40B4-BE49-F238E27FC236}">
              <a16:creationId xmlns:a16="http://schemas.microsoft.com/office/drawing/2014/main" id="{7EB5D86A-85C1-8828-E7E0-3F10FB86D4AC}"/>
            </a:ext>
          </a:extLst>
        </cdr:cNvPr>
        <cdr:cNvSpPr txBox="1"/>
      </cdr:nvSpPr>
      <cdr:spPr>
        <a:xfrm xmlns:a="http://schemas.openxmlformats.org/drawingml/2006/main">
          <a:off x="702731" y="2709199"/>
          <a:ext cx="5457323" cy="3388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100" kern="1200">
              <a:solidFill>
                <a:schemeClr val="bg1"/>
              </a:solidFill>
            </a:rPr>
            <a:t>Showing a daily trend with an area sparkline to spot patterns like busy days or seasonal trends</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30479</xdr:rowOff>
    </xdr:from>
    <xdr:to>
      <xdr:col>12</xdr:col>
      <xdr:colOff>5254</xdr:colOff>
      <xdr:row>17</xdr:row>
      <xdr:rowOff>178674</xdr:rowOff>
    </xdr:to>
    <xdr:graphicFrame macro="">
      <xdr:nvGraphicFramePr>
        <xdr:cNvPr id="2" name="Chart 1">
          <a:extLst>
            <a:ext uri="{FF2B5EF4-FFF2-40B4-BE49-F238E27FC236}">
              <a16:creationId xmlns:a16="http://schemas.microsoft.com/office/drawing/2014/main" id="{7C8F9191-A3A1-4C54-99E9-06C2AE9CFB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30480</xdr:colOff>
      <xdr:row>0</xdr:row>
      <xdr:rowOff>76200</xdr:rowOff>
    </xdr:from>
    <xdr:to>
      <xdr:col>0</xdr:col>
      <xdr:colOff>411480</xdr:colOff>
      <xdr:row>2</xdr:row>
      <xdr:rowOff>91440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2DE91195-5573-720A-43CB-9D0782CA7A9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0480" y="76200"/>
          <a:ext cx="381000" cy="381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7620</xdr:colOff>
      <xdr:row>18</xdr:row>
      <xdr:rowOff>0</xdr:rowOff>
    </xdr:to>
    <xdr:graphicFrame macro="">
      <xdr:nvGraphicFramePr>
        <xdr:cNvPr id="2" name="Chart 1">
          <a:extLst>
            <a:ext uri="{FF2B5EF4-FFF2-40B4-BE49-F238E27FC236}">
              <a16:creationId xmlns:a16="http://schemas.microsoft.com/office/drawing/2014/main" id="{3892EB65-1A1B-455D-BBF9-EFB38359FC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472440</xdr:colOff>
      <xdr:row>2</xdr:row>
      <xdr:rowOff>106680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82B08281-58A4-1D8D-B742-5A6730BAC32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472440" cy="47244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9.067407523151" createdVersion="5" refreshedVersion="8" minRefreshableVersion="3" recordCount="0" supportSubquery="1" supportAdvancedDrill="1" xr:uid="{10AD5F41-5CE1-4AC6-955B-891F9490C266}">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9.06740763889" createdVersion="5" refreshedVersion="8" minRefreshableVersion="3" recordCount="0" supportSubquery="1" supportAdvancedDrill="1" xr:uid="{3E71BF09-C3AA-4774-A9A2-EA81A91A71E3}">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9.067407870367" createdVersion="5" refreshedVersion="8" minRefreshableVersion="3" recordCount="0" supportSubquery="1" supportAdvancedDrill="1" xr:uid="{893D4819-1E96-4955-BEFC-FAA1A46E25CC}">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9.067408101851" createdVersion="5" refreshedVersion="8" minRefreshableVersion="3" recordCount="0" supportSubquery="1" supportAdvancedDrill="1" xr:uid="{56839A4F-44AE-4F10-B7EC-8D627972D35C}">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9.067408564813" createdVersion="5" refreshedVersion="8" minRefreshableVersion="3" recordCount="0" supportSubquery="1" supportAdvancedDrill="1" xr:uid="{96061D04-4B88-452C-898D-0333A63E6C31}">
  <cacheSource type="external" connectionId="3"/>
  <cacheFields count="4">
    <cacheField name="[Calenda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9.067409027775" createdVersion="5" refreshedVersion="8" minRefreshableVersion="3" recordCount="0" supportSubquery="1" supportAdvancedDrill="1" xr:uid="{83DB4104-7295-4C31-AF55-F320FC5A9933}">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9.067409490737" createdVersion="5" refreshedVersion="8" minRefreshableVersion="3" recordCount="0" supportSubquery="1" supportAdvancedDrill="1" xr:uid="{9F5E9536-936D-466E-8143-EFEADA817D72}">
  <cacheSource type="external" connectionId="3"/>
  <cacheFields count="4">
    <cacheField name="[Calendar_Table].[Date (Day)].[Date (Day)]" caption="Date (Day)" numFmtId="0" hierarchy="2" level="1">
      <sharedItems count="28">
        <s v="1-Feb"/>
        <s v="2-Feb"/>
        <s v="3-Feb"/>
        <s v="4-Feb"/>
        <s v="5-Feb"/>
        <s v="6-Feb"/>
        <s v="7-Feb"/>
        <s v="8-Feb"/>
        <s v="9-Feb"/>
        <s v="10-Feb"/>
        <s v="11-Feb"/>
        <s v="12-Feb"/>
        <s v="13-Feb"/>
        <s v="14-Feb"/>
        <s v="15-Feb"/>
        <s v="16-Feb"/>
        <s v="17-Feb"/>
        <s v="18-Feb"/>
        <s v="19-Feb"/>
        <s v="20-Feb"/>
        <s v="21-Feb"/>
        <s v="22-Feb"/>
        <s v="23-Feb"/>
        <s v="24-Feb"/>
        <s v="25-Feb"/>
        <s v="27-Feb"/>
        <s v="28-Feb"/>
        <s v="29-Feb"/>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9.067410069445" createdVersion="5" refreshedVersion="8" minRefreshableVersion="3" recordCount="0" supportSubquery="1" supportAdvancedDrill="1" xr:uid="{F6356DE2-8D95-4FE9-AFC9-E37D5D2B2C4A}">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Patient Age]" caption="Count of Patient Age" numFmtId="0" hierarchy="31"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9.067410532407" createdVersion="5" refreshedVersion="8" minRefreshableVersion="3" recordCount="0" supportSubquery="1" supportAdvancedDrill="1" xr:uid="{2EF0DD89-8CC7-4F1B-B927-2DE841AC7693}">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2"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9.067411111108" createdVersion="5" refreshedVersion="8" minRefreshableVersion="3" recordCount="0" supportSubquery="1" supportAdvancedDrill="1" xr:uid="{E5C5295D-94B3-43D1-8513-68BE225638B3}">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9.067411689815" createdVersion="5" refreshedVersion="8" minRefreshableVersion="3" recordCount="0" supportSubquery="1" supportAdvancedDrill="1" xr:uid="{FE638662-9746-4BC1-9B2A-6F14F3973AE2}">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9.067412152777" createdVersion="5" refreshedVersion="8" minRefreshableVersion="3" recordCount="0" supportSubquery="1" supportAdvancedDrill="1" xr:uid="{9A140731-F6B6-4AF8-A5AA-8FD61026F398}">
  <cacheSource type="external" connectionId="3"/>
  <cacheFields count="4">
    <cacheField name="[Calendar_Table].[Date (Month)].[Date (Month)]" caption="Date (Month)" numFmtId="0" hierarchy="1" level="1">
      <sharedItems count="1">
        <s v="Jan"/>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4"/>
      </sharedItems>
    </cacheField>
  </cacheFields>
  <cacheHierarchies count="35">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9.041792592594" createdVersion="3" refreshedVersion="8" minRefreshableVersion="3" recordCount="0" supportSubquery="1" supportAdvancedDrill="1" xr:uid="{74E5116D-6BE8-4990-8BCD-6D2473513E6E}">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82847201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31EE4A-9ED1-473C-9D8B-E7990C74522A}" name="PivotTable2" cacheId="381" applyNumberFormats="0" applyBorderFormats="0" applyFontFormats="0" applyPatternFormats="0" applyAlignmentFormats="0" applyWidthHeightFormats="1" dataCaption="Values" tag="32fb4ca1-f73c-47f9-9311-099d9cdc61d2"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32">
      <pivotArea outline="0" collapsedLevelsAreSubtotals="1" fieldPosition="0"/>
    </format>
  </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3929AA-D4AE-42D3-BEC2-AF838A4A5717}" name="PivotTable7" cacheId="396" applyNumberFormats="0" applyBorderFormats="0" applyFontFormats="0" applyPatternFormats="0" applyAlignmentFormats="0" applyWidthHeightFormats="1" dataCaption="Values" tag="847a353d-1942-48dc-b5d1-fdd61d1101d1" updatedVersion="8" minRefreshableVersion="3" subtotalHiddenItems="1" itemPrintTitles="1" createdVersion="5" indent="0" outline="1" outlineData="1" multipleFieldFilters="0" chartFormat="24">
  <location ref="A60:B6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 Age" fld="2" subtotal="count" baseField="0" baseItem="0"/>
  </dataFields>
  <formats count="1">
    <format dxfId="26">
      <pivotArea outline="0" collapsedLevelsAreSubtotals="1" fieldPosition="0"/>
    </format>
  </formats>
  <chartFormats count="1">
    <chartFormat chart="2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8E34E2-CDFF-408D-B338-4F98E2913EE3}" name="PivotTable6" cacheId="390" applyNumberFormats="0" applyBorderFormats="0" applyFontFormats="0" applyPatternFormats="0" applyAlignmentFormats="0" applyWidthHeightFormats="1" dataCaption="Values" tag="847a353d-1942-48dc-b5d1-fdd61d1101d1" updatedVersion="8" minRefreshableVersion="3" subtotalHiddenItems="1" itemPrintTitles="1" createdVersion="5" indent="0" outline="1" outlineData="1" multipleFieldFilters="0" chartFormat="12">
  <location ref="A39:C42"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28">
      <pivotArea outline="0" collapsedLevelsAreSubtotals="1" fieldPosition="0"/>
    </format>
    <format dxfId="29">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686897-4382-4AD1-9312-C721A3FF06CB}" name="PivotTable5" cacheId="387" applyNumberFormats="0" applyBorderFormats="0" applyFontFormats="0" applyPatternFormats="0" applyAlignmentFormats="0" applyWidthHeightFormats="1" dataCaption="Values" tag="02a05b50-81b7-4fe6-a24b-6ef134af9a2f" updatedVersion="8" minRefreshableVersion="3" subtotalHiddenItems="1" itemPrintTitles="1" createdVersion="5" indent="0" outline="1" outlineData="1" multipleFieldFilters="0" chartFormat="31">
  <location ref="H4:I34" firstHeaderRow="1" firstDataRow="1" firstDataCol="1"/>
  <pivotFields count="4">
    <pivotField axis="axisRow" allDrilled="1" subtotalTop="0" showAll="0"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Waittime" fld="2" subtotal="average" baseField="0" baseItem="0" numFmtId="2"/>
  </dataFields>
  <formats count="1">
    <format dxfId="30">
      <pivotArea outline="0" collapsedLevelsAreSubtotals="1" fieldPosition="0"/>
    </format>
  </formats>
  <chartFormats count="5">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379825-0D91-4D3E-8E7F-BCD2A15DCF49}" name="PivotTable12" cacheId="408" applyNumberFormats="0" applyBorderFormats="0" applyFontFormats="0" applyPatternFormats="0" applyAlignmentFormats="0" applyWidthHeightFormats="1" dataCaption="Values" tag="847a353d-1942-48dc-b5d1-fdd61d1101d1" updatedVersion="8" minRefreshableVersion="3" subtotalHiddenItems="1" itemPrintTitles="1" createdVersion="5" indent="0" outline="1" outlineData="1" multipleFieldFilters="0" chartFormat="49">
  <location ref="A104:A106"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22">
      <pivotArea outline="0" collapsedLevelsAreSubtotals="1" fieldPosition="0"/>
    </format>
  </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01C159-6344-42A0-96D2-AD8666D043AE}" name="PivotTable11" cacheId="405" applyNumberFormats="0" applyBorderFormats="0" applyFontFormats="0" applyPatternFormats="0" applyAlignmentFormats="0" applyWidthHeightFormats="1" dataCaption="Values" tag="847a353d-1942-48dc-b5d1-fdd61d1101d1" updatedVersion="8" minRefreshableVersion="3" subtotalHiddenItems="1" itemPrintTitles="1" createdVersion="5" indent="0" outline="1" outlineData="1" multipleFieldFilters="0" chartFormat="49">
  <location ref="A88:B97"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3"/>
    </i>
    <i>
      <x v="1"/>
    </i>
    <i>
      <x v="7"/>
    </i>
    <i>
      <x/>
    </i>
    <i>
      <x v="6"/>
    </i>
    <i>
      <x v="5"/>
    </i>
    <i>
      <x v="2"/>
    </i>
    <i>
      <x v="4"/>
    </i>
    <i t="grand">
      <x/>
    </i>
  </rowItems>
  <colItems count="1">
    <i/>
  </colItems>
  <dataFields count="1">
    <dataField name="Count of Department Referral" fld="2" subtotal="count" baseField="0" baseItem="0"/>
  </dataFields>
  <formats count="1">
    <format dxfId="23">
      <pivotArea outline="0" collapsedLevelsAreSubtotals="1" fieldPosition="0"/>
    </format>
  </formats>
  <chartFormats count="1">
    <chartFormat chart="45"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D85963-D1A9-404F-8200-66B6136B46E2}" name="PivotTable4" cacheId="375" applyNumberFormats="0" applyBorderFormats="0" applyFontFormats="0" applyPatternFormats="0" applyAlignmentFormats="0" applyWidthHeightFormats="1" dataCaption="Values" tag="02a05b50-81b7-4fe6-a24b-6ef134af9a2f" updatedVersion="8" minRefreshableVersion="3" subtotalHiddenItems="1" itemPrintTitles="1" createdVersion="5" indent="0" outline="1" outlineData="1" multipleFieldFilters="0" chartFormat="19">
  <location ref="C4:D34" firstHeaderRow="1" firstDataRow="1" firstDataCol="1"/>
  <pivotFields count="4">
    <pivotField dataField="1" subtotalTop="0" showAll="0" defaultSubtotal="0"/>
    <pivotField axis="axisRow" allDrilled="1" subtotalTop="0" showAll="0"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2"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9C83C6-715C-42F8-AE80-46DE5746396E}" name="PivotTable3" cacheId="384" applyNumberFormats="0" applyBorderFormats="0" applyFontFormats="0" applyPatternFormats="0" applyAlignmentFormats="0" applyWidthHeightFormats="1" dataCaption="Values" tag="847a353d-1942-48dc-b5d1-fdd61d1101d1"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31">
      <pivotArea outline="0" collapsedLevelsAreSubtotals="1" fieldPosition="0"/>
    </format>
  </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9802B5-F491-4B9D-935E-8A9E69A769AD}" name="PivotTable10" cacheId="402" applyNumberFormats="0" applyBorderFormats="0" applyFontFormats="0" applyPatternFormats="0" applyAlignmentFormats="0" applyWidthHeightFormats="1" dataCaption="Values" tag="847a353d-1942-48dc-b5d1-fdd61d1101d1" updatedVersion="8" minRefreshableVersion="3" subtotalHiddenItems="1" itemPrintTitles="1" createdVersion="5" indent="0" outline="1" outlineData="1" multipleFieldFilters="0" chartFormat="41">
  <location ref="A80:B8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24">
      <pivotArea outline="0" collapsedLevelsAreSubtotals="1" fieldPosition="0"/>
    </format>
  </formats>
  <chartFormats count="3">
    <chartFormat chart="40" format="4" series="1">
      <pivotArea type="data" outline="0" fieldPosition="0">
        <references count="1">
          <reference field="4294967294" count="1" selected="0">
            <x v="0"/>
          </reference>
        </references>
      </pivotArea>
    </chartFormat>
    <chartFormat chart="40" format="5">
      <pivotArea type="data" outline="0" fieldPosition="0">
        <references count="2">
          <reference field="4294967294" count="1" selected="0">
            <x v="0"/>
          </reference>
          <reference field="1" count="1" selected="0">
            <x v="0"/>
          </reference>
        </references>
      </pivotArea>
    </chartFormat>
    <chartFormat chart="40"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0313D0E-5436-45EC-9178-0F3DA490388F}" name="PivotTable1" cacheId="378" applyNumberFormats="0" applyBorderFormats="0" applyFontFormats="0" applyPatternFormats="0" applyAlignmentFormats="0" applyWidthHeightFormats="1" dataCaption="Values" tag="02a05b50-81b7-4fe6-a24b-6ef134af9a2f"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18EC923-548C-408A-9E8B-EB89076417CC}" name="PivotTable8" cacheId="393" applyNumberFormats="0" applyBorderFormats="0" applyFontFormats="0" applyPatternFormats="0" applyAlignmentFormats="0" applyWidthHeightFormats="1" dataCaption="Values" tag="02a05b50-81b7-4fe6-a24b-6ef134af9a2f" updatedVersion="8" minRefreshableVersion="3" subtotalHiddenItems="1" itemPrintTitles="1" createdVersion="5" indent="0" outline="1" outlineData="1" multipleFieldFilters="0" chartFormat="43">
  <location ref="O4:P33" firstHeaderRow="1" firstDataRow="1" firstDataCol="1"/>
  <pivotFields count="4">
    <pivotField axis="axisRow" allDrilled="1" subtotalTop="0" showAll="0"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Average of Patient Satisfaction Score" fld="2" subtotal="average" baseField="0" baseItem="0"/>
  </dataFields>
  <formats count="1">
    <format dxfId="27">
      <pivotArea outline="0" collapsedLevelsAreSubtotals="1" fieldPosition="0"/>
    </format>
  </formats>
  <chartFormats count="2">
    <chartFormat chart="33" format="2"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E6B0FB1-3EB0-4689-AF9E-0C1CF5744C51}" name="PivotTable9" cacheId="399" applyNumberFormats="0" applyBorderFormats="0" applyFontFormats="0" applyPatternFormats="0" applyAlignmentFormats="0" applyWidthHeightFormats="1" dataCaption="Values" tag="847a353d-1942-48dc-b5d1-fdd61d1101d1" updatedVersion="8" minRefreshableVersion="3" subtotalHiddenItems="1" itemPrintTitles="1" createdVersion="5" indent="0" outline="1" outlineData="1" multipleFieldFilters="0" chartFormat="33">
  <location ref="A73:B7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25">
      <pivotArea outline="0" collapsedLevelsAreSubtotals="1" fieldPosition="0"/>
    </format>
  </formats>
  <chartFormats count="3">
    <chartFormat chart="26" format="4" series="1">
      <pivotArea type="data" outline="0" fieldPosition="0">
        <references count="1">
          <reference field="4294967294" count="1" selected="0">
            <x v="0"/>
          </reference>
        </references>
      </pivotArea>
    </chartFormat>
    <chartFormat chart="26" format="5">
      <pivotArea type="data" outline="0" fieldPosition="0">
        <references count="2">
          <reference field="4294967294" count="1" selected="0">
            <x v="0"/>
          </reference>
          <reference field="1" count="1" selected="0">
            <x v="0"/>
          </reference>
        </references>
      </pivotArea>
    </chartFormat>
    <chartFormat chart="26"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E5EFB7D0-F9BE-4E77-9DF8-FC62BE6B672F}"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8"/>
    <pivotTable tabId="1" name="PivotTable7"/>
    <pivotTable tabId="1" name="PivotTable9"/>
    <pivotTable tabId="1" name="PivotTable10"/>
    <pivotTable tabId="1" name="PivotTable11"/>
    <pivotTable tabId="1" name="PivotTable12"/>
  </pivotTables>
  <data>
    <olap pivotCacheId="1828472010">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Feb]"/>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4153D02-09E3-487B-855A-F2E4C78D9B08}"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828472010">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D539C9B1-188E-4D9F-9158-B927E3734526}" cache="Slicer_Date__Month" caption="Date (Month)" showCaption="0" level="1" style="My style" rowHeight="136800"/>
  <slicer name="Date (Year)" xr10:uid="{467BBF7D-1F6F-4B7D-A59E-AAB8D8BD08DB}" cache="Slicer_Date__Year" caption="Date (Year)" columnCount="2" showCaption="0" level="1" style="My style"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E2F8F-3B19-4BAE-94A7-A3FFC17AFCC3}">
  <dimension ref="A3:P106"/>
  <sheetViews>
    <sheetView topLeftCell="A27" zoomScale="64" zoomScaleNormal="59" workbookViewId="0">
      <selection activeCell="F62" sqref="F62"/>
    </sheetView>
  </sheetViews>
  <sheetFormatPr defaultRowHeight="14.4" x14ac:dyDescent="0.3"/>
  <cols>
    <col min="1" max="1" width="17" customWidth="1"/>
    <col min="2" max="2" width="14.44140625" customWidth="1"/>
    <col min="3" max="3" width="10.109375" customWidth="1"/>
    <col min="4" max="4" width="15.6640625" customWidth="1"/>
    <col min="8" max="8" width="15.77734375" customWidth="1"/>
    <col min="9" max="9" width="11.6640625" bestFit="1" customWidth="1"/>
  </cols>
  <sheetData>
    <row r="3" spans="1:16" x14ac:dyDescent="0.3">
      <c r="A3" t="s">
        <v>1</v>
      </c>
      <c r="C3" t="s">
        <v>6</v>
      </c>
      <c r="H3" t="s">
        <v>7</v>
      </c>
      <c r="O3" t="s">
        <v>8</v>
      </c>
    </row>
    <row r="4" spans="1:16" x14ac:dyDescent="0.3">
      <c r="A4" t="s">
        <v>0</v>
      </c>
      <c r="C4" s="3" t="s">
        <v>4</v>
      </c>
      <c r="D4" t="s">
        <v>0</v>
      </c>
      <c r="H4" s="3" t="s">
        <v>4</v>
      </c>
      <c r="I4" t="s">
        <v>2</v>
      </c>
      <c r="O4" s="3" t="s">
        <v>4</v>
      </c>
      <c r="P4" t="s">
        <v>3</v>
      </c>
    </row>
    <row r="5" spans="1:16" x14ac:dyDescent="0.3">
      <c r="A5" s="12">
        <v>431</v>
      </c>
      <c r="C5" s="4" t="s">
        <v>44</v>
      </c>
      <c r="D5" s="12">
        <v>13</v>
      </c>
      <c r="H5" s="4" t="s">
        <v>44</v>
      </c>
      <c r="I5" s="1">
        <v>35.692307692307693</v>
      </c>
      <c r="O5" s="4" t="s">
        <v>44</v>
      </c>
      <c r="P5" s="1">
        <v>4.166666666666667</v>
      </c>
    </row>
    <row r="6" spans="1:16" x14ac:dyDescent="0.3">
      <c r="C6" s="4" t="s">
        <v>45</v>
      </c>
      <c r="D6" s="12">
        <v>10</v>
      </c>
      <c r="H6" s="4" t="s">
        <v>45</v>
      </c>
      <c r="I6" s="1">
        <v>45.4</v>
      </c>
      <c r="O6" s="4" t="s">
        <v>45</v>
      </c>
      <c r="P6" s="1">
        <v>5.75</v>
      </c>
    </row>
    <row r="7" spans="1:16" x14ac:dyDescent="0.3">
      <c r="C7" s="4" t="s">
        <v>46</v>
      </c>
      <c r="D7" s="12">
        <v>8</v>
      </c>
      <c r="H7" s="4" t="s">
        <v>46</v>
      </c>
      <c r="I7" s="1">
        <v>29.375</v>
      </c>
      <c r="O7" s="4" t="s">
        <v>46</v>
      </c>
      <c r="P7" s="1">
        <v>4.75</v>
      </c>
    </row>
    <row r="8" spans="1:16" x14ac:dyDescent="0.3">
      <c r="A8" t="s">
        <v>2</v>
      </c>
      <c r="C8" s="4" t="s">
        <v>47</v>
      </c>
      <c r="D8" s="12">
        <v>12</v>
      </c>
      <c r="H8" s="4" t="s">
        <v>47</v>
      </c>
      <c r="I8" s="1">
        <v>34.583333333333336</v>
      </c>
      <c r="O8" s="4" t="s">
        <v>47</v>
      </c>
      <c r="P8" s="1">
        <v>7</v>
      </c>
    </row>
    <row r="9" spans="1:16" x14ac:dyDescent="0.3">
      <c r="A9" s="1">
        <v>36.670533642691417</v>
      </c>
      <c r="C9" s="4" t="s">
        <v>48</v>
      </c>
      <c r="D9" s="12">
        <v>19</v>
      </c>
      <c r="H9" s="4" t="s">
        <v>48</v>
      </c>
      <c r="I9" s="1">
        <v>38.684210526315788</v>
      </c>
      <c r="O9" s="4" t="s">
        <v>48</v>
      </c>
      <c r="P9" s="1">
        <v>3.1428571428571428</v>
      </c>
    </row>
    <row r="10" spans="1:16" x14ac:dyDescent="0.3">
      <c r="C10" s="4" t="s">
        <v>49</v>
      </c>
      <c r="D10" s="12">
        <v>9</v>
      </c>
      <c r="H10" s="4" t="s">
        <v>49</v>
      </c>
      <c r="I10" s="1">
        <v>34.777777777777779</v>
      </c>
      <c r="O10" s="4" t="s">
        <v>49</v>
      </c>
      <c r="P10" s="1">
        <v>8</v>
      </c>
    </row>
    <row r="11" spans="1:16" x14ac:dyDescent="0.3">
      <c r="C11" s="4" t="s">
        <v>50</v>
      </c>
      <c r="D11" s="12">
        <v>13</v>
      </c>
      <c r="H11" s="4" t="s">
        <v>50</v>
      </c>
      <c r="I11" s="1">
        <v>37.307692307692307</v>
      </c>
      <c r="O11" s="4" t="s">
        <v>50</v>
      </c>
      <c r="P11" s="1">
        <v>5.25</v>
      </c>
    </row>
    <row r="12" spans="1:16" x14ac:dyDescent="0.3">
      <c r="A12" t="s">
        <v>3</v>
      </c>
      <c r="C12" s="4" t="s">
        <v>51</v>
      </c>
      <c r="D12" s="12">
        <v>19</v>
      </c>
      <c r="H12" s="4" t="s">
        <v>51</v>
      </c>
      <c r="I12" s="1">
        <v>35.631578947368418</v>
      </c>
      <c r="O12" s="4" t="s">
        <v>51</v>
      </c>
      <c r="P12" s="1">
        <v>4.5714285714285712</v>
      </c>
    </row>
    <row r="13" spans="1:16" x14ac:dyDescent="0.3">
      <c r="A13" s="1">
        <v>4.7154471544715451</v>
      </c>
      <c r="C13" s="4" t="s">
        <v>52</v>
      </c>
      <c r="D13" s="12">
        <v>10</v>
      </c>
      <c r="H13" s="4" t="s">
        <v>52</v>
      </c>
      <c r="I13" s="1">
        <v>36.6</v>
      </c>
      <c r="O13" s="4" t="s">
        <v>52</v>
      </c>
      <c r="P13" s="1">
        <v>2.75</v>
      </c>
    </row>
    <row r="14" spans="1:16" x14ac:dyDescent="0.3">
      <c r="C14" s="4" t="s">
        <v>53</v>
      </c>
      <c r="D14" s="12">
        <v>20</v>
      </c>
      <c r="H14" s="4" t="s">
        <v>53</v>
      </c>
      <c r="I14" s="1">
        <v>39.700000000000003</v>
      </c>
      <c r="O14" s="4" t="s">
        <v>53</v>
      </c>
      <c r="P14" s="1">
        <v>4.5</v>
      </c>
    </row>
    <row r="15" spans="1:16" x14ac:dyDescent="0.3">
      <c r="C15" s="4" t="s">
        <v>54</v>
      </c>
      <c r="D15" s="12">
        <v>15</v>
      </c>
      <c r="H15" s="4" t="s">
        <v>54</v>
      </c>
      <c r="I15" s="1">
        <v>37.4</v>
      </c>
      <c r="O15" s="4" t="s">
        <v>54</v>
      </c>
      <c r="P15" s="1">
        <v>5.5</v>
      </c>
    </row>
    <row r="16" spans="1:16" x14ac:dyDescent="0.3">
      <c r="C16" s="4" t="s">
        <v>55</v>
      </c>
      <c r="D16" s="12">
        <v>13</v>
      </c>
      <c r="H16" s="4" t="s">
        <v>55</v>
      </c>
      <c r="I16" s="1">
        <v>27.76923076923077</v>
      </c>
      <c r="O16" s="4" t="s">
        <v>55</v>
      </c>
      <c r="P16" s="1">
        <v>5.6</v>
      </c>
    </row>
    <row r="17" spans="3:16" x14ac:dyDescent="0.3">
      <c r="C17" s="4" t="s">
        <v>56</v>
      </c>
      <c r="D17" s="12">
        <v>9</v>
      </c>
      <c r="H17" s="4" t="s">
        <v>56</v>
      </c>
      <c r="I17" s="1">
        <v>38.777777777777779</v>
      </c>
      <c r="O17" s="4" t="s">
        <v>56</v>
      </c>
      <c r="P17" s="1">
        <v>5.75</v>
      </c>
    </row>
    <row r="18" spans="3:16" x14ac:dyDescent="0.3">
      <c r="C18" s="4" t="s">
        <v>57</v>
      </c>
      <c r="D18" s="12">
        <v>19</v>
      </c>
      <c r="H18" s="4" t="s">
        <v>57</v>
      </c>
      <c r="I18" s="1">
        <v>31</v>
      </c>
      <c r="O18" s="4" t="s">
        <v>57</v>
      </c>
      <c r="P18" s="1">
        <v>3.4444444444444446</v>
      </c>
    </row>
    <row r="19" spans="3:16" x14ac:dyDescent="0.3">
      <c r="C19" s="4" t="s">
        <v>58</v>
      </c>
      <c r="D19" s="12">
        <v>14</v>
      </c>
      <c r="H19" s="4" t="s">
        <v>58</v>
      </c>
      <c r="I19" s="1">
        <v>35.928571428571431</v>
      </c>
      <c r="O19" s="4" t="s">
        <v>58</v>
      </c>
      <c r="P19" s="1">
        <v>1.5</v>
      </c>
    </row>
    <row r="20" spans="3:16" x14ac:dyDescent="0.3">
      <c r="C20" s="4" t="s">
        <v>59</v>
      </c>
      <c r="D20" s="12">
        <v>17</v>
      </c>
      <c r="H20" s="4" t="s">
        <v>59</v>
      </c>
      <c r="I20" s="1">
        <v>37.882352941176471</v>
      </c>
      <c r="O20" s="4" t="s">
        <v>59</v>
      </c>
      <c r="P20" s="1">
        <v>3.6666666666666665</v>
      </c>
    </row>
    <row r="21" spans="3:16" x14ac:dyDescent="0.3">
      <c r="C21" s="4" t="s">
        <v>60</v>
      </c>
      <c r="D21" s="12">
        <v>17</v>
      </c>
      <c r="H21" s="4" t="s">
        <v>60</v>
      </c>
      <c r="I21" s="1">
        <v>40.588235294117645</v>
      </c>
      <c r="O21" s="4" t="s">
        <v>60</v>
      </c>
      <c r="P21" s="1">
        <v>4.4285714285714288</v>
      </c>
    </row>
    <row r="22" spans="3:16" x14ac:dyDescent="0.3">
      <c r="C22" s="4" t="s">
        <v>61</v>
      </c>
      <c r="D22" s="12">
        <v>15</v>
      </c>
      <c r="H22" s="4" t="s">
        <v>61</v>
      </c>
      <c r="I22" s="1">
        <v>34.533333333333331</v>
      </c>
      <c r="O22" s="4" t="s">
        <v>61</v>
      </c>
      <c r="P22" s="1">
        <v>6</v>
      </c>
    </row>
    <row r="23" spans="3:16" x14ac:dyDescent="0.3">
      <c r="C23" s="4" t="s">
        <v>62</v>
      </c>
      <c r="D23" s="12">
        <v>9</v>
      </c>
      <c r="H23" s="4" t="s">
        <v>62</v>
      </c>
      <c r="I23" s="1">
        <v>40.333333333333336</v>
      </c>
      <c r="O23" s="4" t="s">
        <v>62</v>
      </c>
      <c r="P23" s="1">
        <v>2.6666666666666665</v>
      </c>
    </row>
    <row r="24" spans="3:16" x14ac:dyDescent="0.3">
      <c r="C24" s="4" t="s">
        <v>63</v>
      </c>
      <c r="D24" s="12">
        <v>14</v>
      </c>
      <c r="H24" s="4" t="s">
        <v>63</v>
      </c>
      <c r="I24" s="1">
        <v>35.285714285714285</v>
      </c>
      <c r="O24" s="4" t="s">
        <v>63</v>
      </c>
      <c r="P24" s="1">
        <v>7.5</v>
      </c>
    </row>
    <row r="25" spans="3:16" x14ac:dyDescent="0.3">
      <c r="C25" s="4" t="s">
        <v>64</v>
      </c>
      <c r="D25" s="12">
        <v>22</v>
      </c>
      <c r="H25" s="4" t="s">
        <v>64</v>
      </c>
      <c r="I25" s="1">
        <v>35.5</v>
      </c>
      <c r="O25" s="4" t="s">
        <v>64</v>
      </c>
      <c r="P25" s="1">
        <v>4.5</v>
      </c>
    </row>
    <row r="26" spans="3:16" x14ac:dyDescent="0.3">
      <c r="C26" s="4" t="s">
        <v>65</v>
      </c>
      <c r="D26" s="12">
        <v>16</v>
      </c>
      <c r="H26" s="4" t="s">
        <v>65</v>
      </c>
      <c r="I26" s="1">
        <v>38.5625</v>
      </c>
      <c r="O26" s="4" t="s">
        <v>65</v>
      </c>
      <c r="P26" s="1">
        <v>8</v>
      </c>
    </row>
    <row r="27" spans="3:16" x14ac:dyDescent="0.3">
      <c r="C27" s="4" t="s">
        <v>66</v>
      </c>
      <c r="D27" s="12">
        <v>22</v>
      </c>
      <c r="H27" s="4" t="s">
        <v>66</v>
      </c>
      <c r="I27" s="1">
        <v>42.727272727272727</v>
      </c>
      <c r="O27" s="4" t="s">
        <v>66</v>
      </c>
      <c r="P27" s="1">
        <v>4.3636363636363633</v>
      </c>
    </row>
    <row r="28" spans="3:16" x14ac:dyDescent="0.3">
      <c r="C28" s="4" t="s">
        <v>67</v>
      </c>
      <c r="D28" s="12">
        <v>12</v>
      </c>
      <c r="H28" s="4" t="s">
        <v>67</v>
      </c>
      <c r="I28" s="1">
        <v>37.416666666666664</v>
      </c>
      <c r="O28" s="4" t="s">
        <v>67</v>
      </c>
      <c r="P28" s="1">
        <v>0</v>
      </c>
    </row>
    <row r="29" spans="3:16" x14ac:dyDescent="0.3">
      <c r="C29" s="4" t="s">
        <v>68</v>
      </c>
      <c r="D29" s="12">
        <v>20</v>
      </c>
      <c r="H29" s="4" t="s">
        <v>68</v>
      </c>
      <c r="I29" s="1">
        <v>32.450000000000003</v>
      </c>
      <c r="O29" s="4" t="s">
        <v>68</v>
      </c>
      <c r="P29" s="1">
        <v>10</v>
      </c>
    </row>
    <row r="30" spans="3:16" x14ac:dyDescent="0.3">
      <c r="C30" s="4" t="s">
        <v>69</v>
      </c>
      <c r="D30" s="12">
        <v>18</v>
      </c>
      <c r="H30" s="4" t="s">
        <v>69</v>
      </c>
      <c r="I30" s="1">
        <v>40.055555555555557</v>
      </c>
      <c r="O30" s="4" t="s">
        <v>70</v>
      </c>
      <c r="P30" s="1">
        <v>6.75</v>
      </c>
    </row>
    <row r="31" spans="3:16" x14ac:dyDescent="0.3">
      <c r="C31" s="4" t="s">
        <v>70</v>
      </c>
      <c r="D31" s="12">
        <v>18</v>
      </c>
      <c r="H31" s="4" t="s">
        <v>70</v>
      </c>
      <c r="I31" s="1">
        <v>31.666666666666668</v>
      </c>
      <c r="O31" s="4" t="s">
        <v>71</v>
      </c>
      <c r="P31" s="1">
        <v>7</v>
      </c>
    </row>
    <row r="32" spans="3:16" x14ac:dyDescent="0.3">
      <c r="C32" s="4" t="s">
        <v>71</v>
      </c>
      <c r="D32" s="12">
        <v>13</v>
      </c>
      <c r="H32" s="4" t="s">
        <v>71</v>
      </c>
      <c r="I32" s="1">
        <v>39.769230769230766</v>
      </c>
      <c r="O32" s="4" t="s">
        <v>72</v>
      </c>
      <c r="P32" s="1">
        <v>3.3333333333333335</v>
      </c>
    </row>
    <row r="33" spans="1:16" x14ac:dyDescent="0.3">
      <c r="C33" s="4" t="s">
        <v>72</v>
      </c>
      <c r="D33" s="12">
        <v>15</v>
      </c>
      <c r="H33" s="4" t="s">
        <v>72</v>
      </c>
      <c r="I33" s="1">
        <v>36.733333333333334</v>
      </c>
      <c r="O33" s="4" t="s">
        <v>5</v>
      </c>
      <c r="P33" s="1">
        <v>4.7154471544715451</v>
      </c>
    </row>
    <row r="34" spans="1:16" x14ac:dyDescent="0.3">
      <c r="C34" s="4" t="s">
        <v>5</v>
      </c>
      <c r="D34" s="12">
        <v>431</v>
      </c>
      <c r="H34" s="4" t="s">
        <v>5</v>
      </c>
      <c r="I34" s="1">
        <v>36.670533642691417</v>
      </c>
    </row>
    <row r="39" spans="1:16" x14ac:dyDescent="0.3">
      <c r="A39" s="3" t="s">
        <v>4</v>
      </c>
      <c r="B39" t="s">
        <v>11</v>
      </c>
      <c r="C39" t="s">
        <v>12</v>
      </c>
    </row>
    <row r="40" spans="1:16" x14ac:dyDescent="0.3">
      <c r="A40" s="4" t="s">
        <v>9</v>
      </c>
      <c r="B40" s="1">
        <v>224</v>
      </c>
      <c r="C40" s="5">
        <v>0.51972157772621808</v>
      </c>
    </row>
    <row r="41" spans="1:16" x14ac:dyDescent="0.3">
      <c r="A41" s="4" t="s">
        <v>10</v>
      </c>
      <c r="B41" s="1">
        <v>207</v>
      </c>
      <c r="C41" s="5">
        <v>0.48027842227378192</v>
      </c>
    </row>
    <row r="42" spans="1:16" x14ac:dyDescent="0.3">
      <c r="A42" s="4" t="s">
        <v>5</v>
      </c>
      <c r="B42" s="1">
        <v>431</v>
      </c>
      <c r="C42" s="5">
        <v>1</v>
      </c>
    </row>
    <row r="49" spans="1:4" x14ac:dyDescent="0.3">
      <c r="B49" s="1"/>
      <c r="C49" s="1"/>
    </row>
    <row r="54" spans="1:4" x14ac:dyDescent="0.3">
      <c r="A54" s="9" t="s">
        <v>13</v>
      </c>
      <c r="B54" s="9" t="s">
        <v>1</v>
      </c>
      <c r="C54" s="9" t="s">
        <v>14</v>
      </c>
      <c r="D54" s="10"/>
    </row>
    <row r="55" spans="1:4" x14ac:dyDescent="0.3">
      <c r="A55" s="7" t="str">
        <f>A41</f>
        <v>Not Admitted</v>
      </c>
      <c r="B55" s="7">
        <f>B41</f>
        <v>207</v>
      </c>
      <c r="C55" s="8">
        <f>C41</f>
        <v>0.48027842227378192</v>
      </c>
      <c r="D55" s="6"/>
    </row>
    <row r="56" spans="1:4" x14ac:dyDescent="0.3">
      <c r="A56" s="7" t="str">
        <f>A40</f>
        <v>Admitted</v>
      </c>
      <c r="B56" s="7">
        <f>B40</f>
        <v>224</v>
      </c>
      <c r="C56" s="8">
        <f>C40</f>
        <v>0.51972157772621808</v>
      </c>
      <c r="D56" s="6"/>
    </row>
    <row r="59" spans="1:4" x14ac:dyDescent="0.3">
      <c r="A59" t="s">
        <v>24</v>
      </c>
    </row>
    <row r="60" spans="1:4" x14ac:dyDescent="0.3">
      <c r="A60" s="3" t="s">
        <v>4</v>
      </c>
      <c r="B60" t="s">
        <v>23</v>
      </c>
    </row>
    <row r="61" spans="1:4" x14ac:dyDescent="0.3">
      <c r="A61" s="4" t="s">
        <v>15</v>
      </c>
      <c r="B61" s="11">
        <v>42</v>
      </c>
    </row>
    <row r="62" spans="1:4" x14ac:dyDescent="0.3">
      <c r="A62" s="4" t="s">
        <v>16</v>
      </c>
      <c r="B62" s="11">
        <v>46</v>
      </c>
    </row>
    <row r="63" spans="1:4" x14ac:dyDescent="0.3">
      <c r="A63" s="4" t="s">
        <v>17</v>
      </c>
      <c r="B63" s="11">
        <v>54</v>
      </c>
    </row>
    <row r="64" spans="1:4" x14ac:dyDescent="0.3">
      <c r="A64" s="4" t="s">
        <v>18</v>
      </c>
      <c r="B64" s="11">
        <v>68</v>
      </c>
    </row>
    <row r="65" spans="1:2" x14ac:dyDescent="0.3">
      <c r="A65" s="4" t="s">
        <v>19</v>
      </c>
      <c r="B65" s="11">
        <v>62</v>
      </c>
    </row>
    <row r="66" spans="1:2" x14ac:dyDescent="0.3">
      <c r="A66" s="4" t="s">
        <v>20</v>
      </c>
      <c r="B66" s="11">
        <v>52</v>
      </c>
    </row>
    <row r="67" spans="1:2" x14ac:dyDescent="0.3">
      <c r="A67" s="4" t="s">
        <v>21</v>
      </c>
      <c r="B67" s="11">
        <v>54</v>
      </c>
    </row>
    <row r="68" spans="1:2" x14ac:dyDescent="0.3">
      <c r="A68" s="4" t="s">
        <v>22</v>
      </c>
      <c r="B68" s="11">
        <v>53</v>
      </c>
    </row>
    <row r="69" spans="1:2" x14ac:dyDescent="0.3">
      <c r="A69" s="4" t="s">
        <v>5</v>
      </c>
      <c r="B69" s="11">
        <v>431</v>
      </c>
    </row>
    <row r="72" spans="1:2" x14ac:dyDescent="0.3">
      <c r="A72" s="4" t="s">
        <v>28</v>
      </c>
    </row>
    <row r="73" spans="1:2" x14ac:dyDescent="0.3">
      <c r="A73" s="3" t="s">
        <v>4</v>
      </c>
      <c r="B73" t="s">
        <v>27</v>
      </c>
    </row>
    <row r="74" spans="1:2" x14ac:dyDescent="0.3">
      <c r="A74" s="4" t="s">
        <v>25</v>
      </c>
      <c r="B74" s="11">
        <v>283</v>
      </c>
    </row>
    <row r="75" spans="1:2" x14ac:dyDescent="0.3">
      <c r="A75" s="4" t="s">
        <v>26</v>
      </c>
      <c r="B75" s="11">
        <v>148</v>
      </c>
    </row>
    <row r="76" spans="1:2" x14ac:dyDescent="0.3">
      <c r="A76" s="4" t="s">
        <v>5</v>
      </c>
      <c r="B76" s="11">
        <v>431</v>
      </c>
    </row>
    <row r="79" spans="1:2" x14ac:dyDescent="0.3">
      <c r="A79" s="4" t="s">
        <v>32</v>
      </c>
    </row>
    <row r="80" spans="1:2" x14ac:dyDescent="0.3">
      <c r="A80" s="3" t="s">
        <v>4</v>
      </c>
      <c r="B80" t="s">
        <v>31</v>
      </c>
    </row>
    <row r="81" spans="1:2" x14ac:dyDescent="0.3">
      <c r="A81" s="4" t="s">
        <v>29</v>
      </c>
      <c r="B81" s="11">
        <v>194</v>
      </c>
    </row>
    <row r="82" spans="1:2" x14ac:dyDescent="0.3">
      <c r="A82" s="4" t="s">
        <v>30</v>
      </c>
      <c r="B82" s="11">
        <v>237</v>
      </c>
    </row>
    <row r="83" spans="1:2" x14ac:dyDescent="0.3">
      <c r="A83" s="4" t="s">
        <v>5</v>
      </c>
      <c r="B83" s="11">
        <v>431</v>
      </c>
    </row>
    <row r="87" spans="1:2" x14ac:dyDescent="0.3">
      <c r="A87" t="s">
        <v>42</v>
      </c>
    </row>
    <row r="88" spans="1:2" x14ac:dyDescent="0.3">
      <c r="A88" s="3" t="s">
        <v>4</v>
      </c>
      <c r="B88" t="s">
        <v>41</v>
      </c>
    </row>
    <row r="89" spans="1:2" x14ac:dyDescent="0.3">
      <c r="A89" s="4" t="s">
        <v>36</v>
      </c>
      <c r="B89" s="11">
        <v>6</v>
      </c>
    </row>
    <row r="90" spans="1:2" x14ac:dyDescent="0.3">
      <c r="A90" s="4" t="s">
        <v>34</v>
      </c>
      <c r="B90" s="11">
        <v>6</v>
      </c>
    </row>
    <row r="91" spans="1:2" x14ac:dyDescent="0.3">
      <c r="A91" s="4" t="s">
        <v>40</v>
      </c>
      <c r="B91" s="11">
        <v>6</v>
      </c>
    </row>
    <row r="92" spans="1:2" x14ac:dyDescent="0.3">
      <c r="A92" s="4" t="s">
        <v>33</v>
      </c>
      <c r="B92" s="11">
        <v>12</v>
      </c>
    </row>
    <row r="93" spans="1:2" x14ac:dyDescent="0.3">
      <c r="A93" s="4" t="s">
        <v>39</v>
      </c>
      <c r="B93" s="11">
        <v>14</v>
      </c>
    </row>
    <row r="94" spans="1:2" x14ac:dyDescent="0.3">
      <c r="A94" s="4" t="s">
        <v>38</v>
      </c>
      <c r="B94" s="11">
        <v>46</v>
      </c>
    </row>
    <row r="95" spans="1:2" x14ac:dyDescent="0.3">
      <c r="A95" s="4" t="s">
        <v>35</v>
      </c>
      <c r="B95" s="11">
        <v>89</v>
      </c>
    </row>
    <row r="96" spans="1:2" x14ac:dyDescent="0.3">
      <c r="A96" s="4" t="s">
        <v>37</v>
      </c>
      <c r="B96" s="11">
        <v>252</v>
      </c>
    </row>
    <row r="97" spans="1:2" x14ac:dyDescent="0.3">
      <c r="A97" s="4" t="s">
        <v>5</v>
      </c>
      <c r="B97" s="11">
        <v>431</v>
      </c>
    </row>
    <row r="104" spans="1:2" x14ac:dyDescent="0.3">
      <c r="A104" s="3" t="s">
        <v>4</v>
      </c>
    </row>
    <row r="105" spans="1:2" x14ac:dyDescent="0.3">
      <c r="A105" s="4" t="s">
        <v>43</v>
      </c>
    </row>
    <row r="106" spans="1:2" x14ac:dyDescent="0.3">
      <c r="A106" s="4" t="s">
        <v>5</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5AA9A-2B79-41F4-90AD-AABA478C2E92}">
  <dimension ref="A1:M16"/>
  <sheetViews>
    <sheetView tabSelected="1" zoomScale="160" zoomScaleNormal="110" workbookViewId="0">
      <selection activeCell="N7" sqref="N7"/>
    </sheetView>
  </sheetViews>
  <sheetFormatPr defaultRowHeight="14.4" x14ac:dyDescent="0.3"/>
  <sheetData>
    <row r="1" spans="1:13" x14ac:dyDescent="0.3">
      <c r="A1" s="2"/>
      <c r="B1" s="2"/>
      <c r="C1" s="2"/>
      <c r="D1" s="2"/>
      <c r="E1" s="2"/>
      <c r="F1" s="2"/>
      <c r="G1" s="2"/>
      <c r="H1" s="2"/>
      <c r="I1" s="2"/>
      <c r="J1" s="2"/>
      <c r="K1" s="2"/>
      <c r="L1" s="2"/>
      <c r="M1" s="2"/>
    </row>
    <row r="2" spans="1:13" x14ac:dyDescent="0.3">
      <c r="A2" s="2"/>
      <c r="B2" s="2"/>
      <c r="C2" s="2"/>
      <c r="D2" s="2"/>
      <c r="E2" s="2"/>
      <c r="F2" s="2"/>
      <c r="G2" s="2"/>
      <c r="H2" s="2"/>
      <c r="I2" s="2"/>
      <c r="J2" s="2"/>
      <c r="K2" s="2"/>
      <c r="L2" s="2"/>
      <c r="M2" s="2"/>
    </row>
    <row r="3" spans="1:13" x14ac:dyDescent="0.3">
      <c r="A3" s="2"/>
      <c r="B3" s="2"/>
      <c r="C3" s="2"/>
      <c r="D3" s="2"/>
      <c r="E3" s="2"/>
      <c r="F3" s="2"/>
      <c r="G3" s="2"/>
      <c r="H3" s="2"/>
      <c r="I3" s="2"/>
      <c r="J3" s="2"/>
      <c r="K3" s="2"/>
      <c r="L3" s="2"/>
      <c r="M3" s="2"/>
    </row>
    <row r="4" spans="1:13" x14ac:dyDescent="0.3">
      <c r="A4" s="2"/>
      <c r="B4" s="2"/>
      <c r="C4" s="2"/>
      <c r="D4" s="2"/>
      <c r="E4" s="2"/>
      <c r="F4" s="2"/>
      <c r="G4" s="2"/>
      <c r="H4" s="2"/>
      <c r="I4" s="2"/>
      <c r="J4" s="2"/>
      <c r="K4" s="2"/>
      <c r="L4" s="2"/>
      <c r="M4" s="2"/>
    </row>
    <row r="5" spans="1:13" x14ac:dyDescent="0.3">
      <c r="A5" s="2"/>
      <c r="B5" s="2"/>
      <c r="C5" s="2"/>
      <c r="D5" s="2"/>
      <c r="E5" s="2"/>
      <c r="F5" s="2"/>
      <c r="G5" s="2"/>
      <c r="H5" s="2"/>
      <c r="I5" s="2"/>
      <c r="J5" s="2"/>
      <c r="K5" s="2"/>
      <c r="L5" s="2"/>
      <c r="M5" s="2"/>
    </row>
    <row r="6" spans="1:13" x14ac:dyDescent="0.3">
      <c r="A6" s="2"/>
      <c r="B6" s="2"/>
      <c r="C6" s="2"/>
      <c r="D6" s="2"/>
      <c r="E6" s="2"/>
      <c r="F6" s="2"/>
      <c r="G6" s="2"/>
      <c r="H6" s="2"/>
      <c r="I6" s="2"/>
      <c r="J6" s="2"/>
      <c r="K6" s="2"/>
      <c r="L6" s="2"/>
      <c r="M6" s="2"/>
    </row>
    <row r="7" spans="1:13" x14ac:dyDescent="0.3">
      <c r="A7" s="2"/>
      <c r="B7" s="2"/>
      <c r="C7" s="2"/>
      <c r="D7" s="2"/>
      <c r="E7" s="2"/>
      <c r="F7" s="2"/>
      <c r="G7" s="2"/>
      <c r="H7" s="2"/>
      <c r="I7" s="2"/>
      <c r="J7" s="2"/>
      <c r="K7" s="2"/>
      <c r="L7" s="2"/>
      <c r="M7" s="2"/>
    </row>
    <row r="8" spans="1:13" x14ac:dyDescent="0.3">
      <c r="A8" s="2"/>
      <c r="B8" s="2"/>
      <c r="C8" s="2"/>
      <c r="D8" s="2"/>
      <c r="E8" s="2"/>
      <c r="F8" s="2"/>
      <c r="G8" s="2"/>
      <c r="H8" s="2"/>
      <c r="I8" s="2"/>
      <c r="J8" s="2"/>
      <c r="K8" s="2"/>
      <c r="L8" s="2"/>
      <c r="M8" s="2"/>
    </row>
    <row r="9" spans="1:13" x14ac:dyDescent="0.3">
      <c r="A9" s="2"/>
      <c r="B9" s="2"/>
      <c r="C9" s="2"/>
      <c r="D9" s="2"/>
      <c r="E9" s="2"/>
      <c r="F9" s="2"/>
      <c r="G9" s="2"/>
      <c r="H9" s="2"/>
      <c r="I9" s="2"/>
      <c r="J9" s="2"/>
      <c r="K9" s="2"/>
      <c r="L9" s="2"/>
      <c r="M9" s="2"/>
    </row>
    <row r="10" spans="1:13" x14ac:dyDescent="0.3">
      <c r="A10" s="2"/>
      <c r="B10" s="2"/>
      <c r="C10" s="2"/>
      <c r="D10" s="2"/>
      <c r="E10" s="2"/>
      <c r="F10" s="2"/>
      <c r="G10" s="2"/>
      <c r="H10" s="2"/>
      <c r="I10" s="2"/>
      <c r="J10" s="2"/>
      <c r="K10" s="2"/>
      <c r="L10" s="2"/>
      <c r="M10" s="2"/>
    </row>
    <row r="11" spans="1:13" x14ac:dyDescent="0.3">
      <c r="A11" s="2"/>
      <c r="B11" s="2"/>
      <c r="C11" s="2"/>
      <c r="D11" s="2"/>
      <c r="E11" s="2"/>
      <c r="F11" s="2"/>
      <c r="G11" s="2"/>
      <c r="H11" s="2"/>
      <c r="I11" s="2"/>
      <c r="J11" s="2"/>
      <c r="K11" s="2"/>
      <c r="L11" s="2"/>
      <c r="M11" s="2"/>
    </row>
    <row r="12" spans="1:13" x14ac:dyDescent="0.3">
      <c r="A12" s="2"/>
      <c r="B12" s="2"/>
      <c r="C12" s="2"/>
      <c r="D12" s="2"/>
      <c r="E12" s="2"/>
      <c r="F12" s="2"/>
      <c r="G12" s="2"/>
      <c r="H12" s="2"/>
      <c r="I12" s="2"/>
      <c r="J12" s="2"/>
      <c r="K12" s="2"/>
      <c r="L12" s="2"/>
      <c r="M12" s="2"/>
    </row>
    <row r="13" spans="1:13" x14ac:dyDescent="0.3">
      <c r="A13" s="2"/>
      <c r="B13" s="2"/>
      <c r="C13" s="2"/>
      <c r="D13" s="2"/>
      <c r="E13" s="2"/>
      <c r="F13" s="2"/>
      <c r="G13" s="2"/>
      <c r="H13" s="2"/>
      <c r="I13" s="2"/>
      <c r="J13" s="2"/>
      <c r="K13" s="2"/>
      <c r="L13" s="2"/>
      <c r="M13" s="2"/>
    </row>
    <row r="14" spans="1:13" x14ac:dyDescent="0.3">
      <c r="A14" s="2"/>
      <c r="B14" s="2"/>
      <c r="C14" s="2"/>
      <c r="D14" s="2"/>
      <c r="E14" s="2"/>
      <c r="F14" s="2"/>
      <c r="G14" s="2"/>
      <c r="H14" s="2"/>
      <c r="I14" s="2"/>
      <c r="J14" s="2"/>
      <c r="K14" s="2"/>
      <c r="L14" s="2"/>
      <c r="M14" s="2"/>
    </row>
    <row r="15" spans="1:13" x14ac:dyDescent="0.3">
      <c r="A15" s="2"/>
      <c r="B15" s="2"/>
      <c r="C15" s="2"/>
      <c r="D15" s="2"/>
      <c r="E15" s="2"/>
      <c r="F15" s="2"/>
      <c r="G15" s="2"/>
      <c r="H15" s="2"/>
      <c r="I15" s="2"/>
      <c r="J15" s="2"/>
      <c r="K15" s="2"/>
      <c r="L15" s="2"/>
      <c r="M15" s="2"/>
    </row>
    <row r="16" spans="1:13" x14ac:dyDescent="0.3">
      <c r="A16" s="2"/>
      <c r="B16" s="2"/>
      <c r="C16" s="2"/>
      <c r="D16" s="2"/>
      <c r="E16" s="2"/>
      <c r="F16" s="2"/>
      <c r="G16" s="2"/>
      <c r="H16" s="2"/>
      <c r="I16" s="2"/>
      <c r="J16" s="2"/>
      <c r="K16" s="2"/>
      <c r="L16" s="2"/>
      <c r="M16" s="2"/>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B6F6D-C0D3-4E1F-85B4-98FA00C5F21A}">
  <dimension ref="A1:I15"/>
  <sheetViews>
    <sheetView zoomScale="78" zoomScaleNormal="97" workbookViewId="0"/>
  </sheetViews>
  <sheetFormatPr defaultRowHeight="14.4" x14ac:dyDescent="0.3"/>
  <sheetData>
    <row r="1" spans="1:9" x14ac:dyDescent="0.3">
      <c r="A1" s="2"/>
      <c r="B1" s="2"/>
      <c r="C1" s="2"/>
      <c r="D1" s="2"/>
      <c r="E1" s="2"/>
      <c r="F1" s="2"/>
      <c r="G1" s="2"/>
      <c r="H1" s="2"/>
      <c r="I1" s="2"/>
    </row>
    <row r="2" spans="1:9" x14ac:dyDescent="0.3">
      <c r="A2" s="2"/>
      <c r="B2" s="2"/>
      <c r="C2" s="2"/>
      <c r="D2" s="2"/>
      <c r="E2" s="2"/>
      <c r="F2" s="2"/>
      <c r="G2" s="2"/>
      <c r="H2" s="2"/>
      <c r="I2" s="2"/>
    </row>
    <row r="3" spans="1:9" x14ac:dyDescent="0.3">
      <c r="A3" s="2"/>
      <c r="B3" s="2"/>
      <c r="C3" s="2"/>
      <c r="D3" s="2"/>
      <c r="E3" s="2"/>
      <c r="F3" s="2"/>
      <c r="G3" s="2"/>
      <c r="H3" s="2"/>
      <c r="I3" s="2"/>
    </row>
    <row r="4" spans="1:9" x14ac:dyDescent="0.3">
      <c r="A4" s="2"/>
      <c r="B4" s="2"/>
      <c r="C4" s="2"/>
      <c r="D4" s="2"/>
      <c r="E4" s="2"/>
      <c r="F4" s="2"/>
      <c r="G4" s="2"/>
      <c r="H4" s="2"/>
      <c r="I4" s="2"/>
    </row>
    <row r="5" spans="1:9" x14ac:dyDescent="0.3">
      <c r="A5" s="2"/>
      <c r="B5" s="2"/>
      <c r="C5" s="2"/>
      <c r="D5" s="2"/>
      <c r="E5" s="2"/>
      <c r="F5" s="2"/>
      <c r="G5" s="2"/>
      <c r="H5" s="2"/>
      <c r="I5" s="2"/>
    </row>
    <row r="6" spans="1:9" x14ac:dyDescent="0.3">
      <c r="A6" s="2"/>
      <c r="B6" s="2"/>
      <c r="C6" s="2"/>
      <c r="D6" s="2"/>
      <c r="E6" s="2"/>
      <c r="F6" s="2"/>
      <c r="G6" s="2"/>
      <c r="H6" s="2"/>
      <c r="I6" s="2"/>
    </row>
    <row r="7" spans="1:9" x14ac:dyDescent="0.3">
      <c r="A7" s="2"/>
      <c r="B7" s="2"/>
      <c r="C7" s="2"/>
      <c r="D7" s="2"/>
      <c r="E7" s="2"/>
      <c r="F7" s="2"/>
      <c r="G7" s="2"/>
      <c r="H7" s="2"/>
      <c r="I7" s="2"/>
    </row>
    <row r="8" spans="1:9" x14ac:dyDescent="0.3">
      <c r="A8" s="2"/>
      <c r="B8" s="2"/>
      <c r="C8" s="2"/>
      <c r="D8" s="2"/>
      <c r="E8" s="2"/>
      <c r="F8" s="2"/>
      <c r="G8" s="2"/>
      <c r="H8" s="2"/>
      <c r="I8" s="2"/>
    </row>
    <row r="9" spans="1:9" x14ac:dyDescent="0.3">
      <c r="A9" s="2"/>
      <c r="B9" s="2"/>
      <c r="C9" s="2"/>
      <c r="D9" s="2"/>
      <c r="E9" s="2"/>
      <c r="F9" s="2"/>
      <c r="G9" s="2"/>
      <c r="H9" s="2"/>
      <c r="I9" s="2"/>
    </row>
    <row r="10" spans="1:9" x14ac:dyDescent="0.3">
      <c r="A10" s="2"/>
      <c r="B10" s="2"/>
      <c r="C10" s="2"/>
      <c r="D10" s="2"/>
      <c r="E10" s="2"/>
      <c r="F10" s="2"/>
      <c r="G10" s="2"/>
      <c r="H10" s="2"/>
      <c r="I10" s="2"/>
    </row>
    <row r="11" spans="1:9" x14ac:dyDescent="0.3">
      <c r="A11" s="2"/>
      <c r="B11" s="2"/>
      <c r="C11" s="2"/>
      <c r="D11" s="2"/>
      <c r="E11" s="2"/>
      <c r="F11" s="2"/>
      <c r="G11" s="2"/>
      <c r="H11" s="2"/>
      <c r="I11" s="2"/>
    </row>
    <row r="12" spans="1:9" x14ac:dyDescent="0.3">
      <c r="A12" s="2"/>
      <c r="B12" s="2"/>
      <c r="C12" s="2"/>
      <c r="D12" s="2"/>
      <c r="E12" s="2"/>
      <c r="F12" s="2"/>
      <c r="G12" s="2"/>
      <c r="H12" s="2"/>
      <c r="I12" s="2"/>
    </row>
    <row r="13" spans="1:9" x14ac:dyDescent="0.3">
      <c r="A13" s="2"/>
      <c r="B13" s="2"/>
      <c r="C13" s="2"/>
      <c r="D13" s="2"/>
      <c r="E13" s="2"/>
      <c r="F13" s="2"/>
      <c r="G13" s="2"/>
      <c r="H13" s="2"/>
      <c r="I13" s="2"/>
    </row>
    <row r="14" spans="1:9" x14ac:dyDescent="0.3">
      <c r="A14" s="2"/>
      <c r="B14" s="2"/>
      <c r="C14" s="2"/>
      <c r="D14" s="2"/>
      <c r="E14" s="2"/>
      <c r="F14" s="2"/>
      <c r="G14" s="2"/>
      <c r="H14" s="2"/>
      <c r="I14" s="2"/>
    </row>
    <row r="15" spans="1:9" x14ac:dyDescent="0.3">
      <c r="A15" s="2"/>
      <c r="B15" s="2"/>
      <c r="C15" s="2"/>
      <c r="D15" s="2"/>
      <c r="E15" s="2"/>
      <c r="F15" s="2"/>
      <c r="G15" s="2"/>
      <c r="H15" s="2"/>
      <c r="I15" s="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EC673-5275-46C7-9291-2AAFABD7135B}">
  <dimension ref="A1"/>
  <sheetViews>
    <sheetView zoomScale="145"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6499B-4D10-4DA0-A878-89B769D28EA1}">
  <dimension ref="A1"/>
  <sheetViews>
    <sheetView zoomScale="76" workbookViewId="0">
      <selection activeCell="H27" sqref="H27"/>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2F08D579-2849-4645-84E6-FE9E95A96849}">
  <ds:schemaRefs/>
</ds:datastoreItem>
</file>

<file path=customXml/itemProps2.xml><?xml version="1.0" encoding="utf-8"?>
<ds:datastoreItem xmlns:ds="http://schemas.openxmlformats.org/officeDocument/2006/customXml" ds:itemID="{BC9548AD-9B84-4BC6-9A6B-B82929426EF6}">
  <ds:schemaRefs>
    <ds:schemaRef ds:uri="http://schemas.microsoft.com/DataMashup"/>
  </ds:schemaRefs>
</ds:datastoreItem>
</file>

<file path=customXml/itemProps3.xml><?xml version="1.0" encoding="utf-8"?>
<ds:datastoreItem xmlns:ds="http://schemas.openxmlformats.org/officeDocument/2006/customXml" ds:itemID="{0E156FB3-7328-45FA-8D2F-2EC7D4D7EEC2}">
  <ds:schemaRefs/>
</ds:datastoreItem>
</file>

<file path=customXml/itemProps4.xml><?xml version="1.0" encoding="utf-8"?>
<ds:datastoreItem xmlns:ds="http://schemas.openxmlformats.org/officeDocument/2006/customXml" ds:itemID="{9B58C669-CFB1-4724-8523-DB140DA79150}">
  <ds:schemaRefs/>
</ds:datastoreItem>
</file>

<file path=customXml/itemProps5.xml><?xml version="1.0" encoding="utf-8"?>
<ds:datastoreItem xmlns:ds="http://schemas.openxmlformats.org/officeDocument/2006/customXml" ds:itemID="{040ADC45-CDE8-4EE7-9A1B-6D3915234DC2}">
  <ds:schemaRefs/>
</ds:datastoreItem>
</file>

<file path=customXml/itemProps6.xml><?xml version="1.0" encoding="utf-8"?>
<ds:datastoreItem xmlns:ds="http://schemas.openxmlformats.org/officeDocument/2006/customXml" ds:itemID="{48C0F9D1-6BF3-4A18-BFF5-4BEA7D5F6E40}">
  <ds:schemaRefs/>
</ds:datastoreItem>
</file>

<file path=customXml/itemProps7.xml><?xml version="1.0" encoding="utf-8"?>
<ds:datastoreItem xmlns:ds="http://schemas.openxmlformats.org/officeDocument/2006/customXml" ds:itemID="{B61D5F2E-0837-4410-BC5A-308856101E05}">
  <ds:schemaRefs/>
</ds:datastoreItem>
</file>

<file path=customXml/itemProps8.xml><?xml version="1.0" encoding="utf-8"?>
<ds:datastoreItem xmlns:ds="http://schemas.openxmlformats.org/officeDocument/2006/customXml" ds:itemID="{1110EADE-4481-48DF-B53C-B5D6CE1EE175}">
  <ds:schemaRefs/>
</ds:datastoreItem>
</file>

<file path=customXml/itemProps9.xml><?xml version="1.0" encoding="utf-8"?>
<ds:datastoreItem xmlns:ds="http://schemas.openxmlformats.org/officeDocument/2006/customXml" ds:itemID="{0FF44FB6-161C-4666-A79C-A570602647B1}">
  <ds:schemaRefs/>
</ds:datastoreItem>
</file>

<file path=customXml/itemProps10.xml><?xml version="1.0" encoding="utf-8"?>
<ds:datastoreItem xmlns:ds="http://schemas.openxmlformats.org/officeDocument/2006/customXml" ds:itemID="{730ABBC2-BC0F-45E1-A734-5D1F397757E1}">
  <ds:schemaRefs/>
</ds:datastoreItem>
</file>

<file path=customXml/itemProps11.xml><?xml version="1.0" encoding="utf-8"?>
<ds:datastoreItem xmlns:ds="http://schemas.openxmlformats.org/officeDocument/2006/customXml" ds:itemID="{8860171E-4A2B-482F-9432-FC2ABEBED18B}">
  <ds:schemaRefs/>
</ds:datastoreItem>
</file>

<file path=customXml/itemProps12.xml><?xml version="1.0" encoding="utf-8"?>
<ds:datastoreItem xmlns:ds="http://schemas.openxmlformats.org/officeDocument/2006/customXml" ds:itemID="{BA0E2118-EB63-4BDC-9BBD-47CCD0E4B909}">
  <ds:schemaRefs/>
</ds:datastoreItem>
</file>

<file path=customXml/itemProps13.xml><?xml version="1.0" encoding="utf-8"?>
<ds:datastoreItem xmlns:ds="http://schemas.openxmlformats.org/officeDocument/2006/customXml" ds:itemID="{31A64023-4B83-461A-A390-EDB0AED54857}">
  <ds:schemaRefs/>
</ds:datastoreItem>
</file>

<file path=customXml/itemProps14.xml><?xml version="1.0" encoding="utf-8"?>
<ds:datastoreItem xmlns:ds="http://schemas.openxmlformats.org/officeDocument/2006/customXml" ds:itemID="{93427AFE-2BA4-4422-8A9E-CC386F50D90A}">
  <ds:schemaRefs/>
</ds:datastoreItem>
</file>

<file path=customXml/itemProps15.xml><?xml version="1.0" encoding="utf-8"?>
<ds:datastoreItem xmlns:ds="http://schemas.openxmlformats.org/officeDocument/2006/customXml" ds:itemID="{308C4196-5A54-47AC-A041-0928957EA321}">
  <ds:schemaRefs/>
</ds:datastoreItem>
</file>

<file path=customXml/itemProps16.xml><?xml version="1.0" encoding="utf-8"?>
<ds:datastoreItem xmlns:ds="http://schemas.openxmlformats.org/officeDocument/2006/customXml" ds:itemID="{58A16F4A-C6FB-4C9B-A57C-1B49BFBCEA5F}">
  <ds:schemaRefs/>
</ds:datastoreItem>
</file>

<file path=customXml/itemProps17.xml><?xml version="1.0" encoding="utf-8"?>
<ds:datastoreItem xmlns:ds="http://schemas.openxmlformats.org/officeDocument/2006/customXml" ds:itemID="{E79BAF26-DC80-4310-A681-283A6153DBD4}">
  <ds:schemaRefs/>
</ds:datastoreItem>
</file>

<file path=customXml/itemProps18.xml><?xml version="1.0" encoding="utf-8"?>
<ds:datastoreItem xmlns:ds="http://schemas.openxmlformats.org/officeDocument/2006/customXml" ds:itemID="{ECCC521B-23CA-49BC-92B8-D1F1C50A603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Average WT of Pateint</vt:lpstr>
      <vt:lpstr>Average PS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anushrirajput0803@gmail.com</dc:creator>
  <cp:lastModifiedBy>anushrirajput0803@gmail.com</cp:lastModifiedBy>
  <dcterms:created xsi:type="dcterms:W3CDTF">2026-01-18T15:35:56Z</dcterms:created>
  <dcterms:modified xsi:type="dcterms:W3CDTF">2026-02-15T20:09:00Z</dcterms:modified>
</cp:coreProperties>
</file>